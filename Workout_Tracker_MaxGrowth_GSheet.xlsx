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ay" sheetId="1" state="visible" r:id="rId3"/>
    <sheet name="Plan" sheetId="2" state="visible" r:id="rId4"/>
    <sheet name="Rules" sheetId="3" state="visible" r:id="rId5"/>
    <sheet name="Log" sheetId="4" state="visible" r:id="rId6"/>
    <sheet name="Progress" sheetId="5" state="visible" r:id="rId7"/>
    <sheet name="Setu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<sst xmlns="http://schemas.openxmlformats.org/spreadsheetml/2006/main" count="307" uniqueCount="164">
  <si>
    <t xml:space="preserve">TODAY</t>
  </si>
  <si>
    <t xml:space="preserve">▶  Open the  "💪 Workout"  menu (top bar)  →  "Start Today's Session"  →  pick your day.</t>
  </si>
  <si>
    <t xml:space="preserve">Your exercises will load here with weights already filled in. Just type the reps you hit, then  "💪 Workout &gt; Save Session".</t>
  </si>
  <si>
    <t xml:space="preserve">(Until you start a session, this tab is empty on purpose.)</t>
  </si>
  <si>
    <t xml:space="preserve">MAXIMAL-GROWTH PLAN — UPPER / LOWER, 4 DAYS</t>
  </si>
  <si>
    <t xml:space="preserve">Mon UA · Tue LA · Thu UB · Fri LB (rest Wed/Sat/Sun). ~45 min each. Every muscle trained 2×/week, 10+ sets/week. Run double progression (see Rules tab).</t>
  </si>
  <si>
    <t xml:space="preserve">DAY 1 — UPPER A  (Mon)</t>
  </si>
  <si>
    <t xml:space="preserve">Exercise</t>
  </si>
  <si>
    <t xml:space="preserve">Sets</t>
  </si>
  <si>
    <t xml:space="preserve">Reps</t>
  </si>
  <si>
    <t xml:space="preserve">Type</t>
  </si>
  <si>
    <t xml:space="preserve">How / Why</t>
  </si>
  <si>
    <t xml:space="preserve">Bench Press</t>
  </si>
  <si>
    <t xml:space="preserve">5-8</t>
  </si>
  <si>
    <t xml:space="preserve">Main</t>
  </si>
  <si>
    <t xml:space="preserve">Chest. AMRAP-ish last set.</t>
  </si>
  <si>
    <t xml:space="preserve">Barbell Row</t>
  </si>
  <si>
    <t xml:space="preserve">Back. Flat back, pull to belly.</t>
  </si>
  <si>
    <t xml:space="preserve">Overhead Press</t>
  </si>
  <si>
    <t xml:space="preserve">6-10</t>
  </si>
  <si>
    <t xml:space="preserve">Compound</t>
  </si>
  <si>
    <t xml:space="preserve">Shoulders + triceps.</t>
  </si>
  <si>
    <t xml:space="preserve">Lateral Raise</t>
  </si>
  <si>
    <t xml:space="preserve">12-20</t>
  </si>
  <si>
    <t xml:space="preserve">Iso</t>
  </si>
  <si>
    <t xml:space="preserve">Side delts. Light, high reps.</t>
  </si>
  <si>
    <t xml:space="preserve">Triceps Pushdown</t>
  </si>
  <si>
    <t xml:space="preserve">10-15</t>
  </si>
  <si>
    <t xml:space="preserve">SS with Lateral Raise to save time.</t>
  </si>
  <si>
    <t xml:space="preserve">Incline Curl</t>
  </si>
  <si>
    <t xml:space="preserve">Biceps.</t>
  </si>
  <si>
    <t xml:space="preserve">DAY 2 — LOWER A  (Tue)</t>
  </si>
  <si>
    <t xml:space="preserve">Squat</t>
  </si>
  <si>
    <t xml:space="preserve">Quads. To parallel.</t>
  </si>
  <si>
    <t xml:space="preserve">Leg Press</t>
  </si>
  <si>
    <t xml:space="preserve">8-12</t>
  </si>
  <si>
    <t xml:space="preserve">More quad volume, low back rests.</t>
  </si>
  <si>
    <t xml:space="preserve">Romanian Deadlift</t>
  </si>
  <si>
    <t xml:space="preserve">Hamstrings + glutes.</t>
  </si>
  <si>
    <t xml:space="preserve">Lying Leg Curl</t>
  </si>
  <si>
    <t xml:space="preserve">Hamstrings (knee flexion).</t>
  </si>
  <si>
    <t xml:space="preserve">Calf Raise</t>
  </si>
  <si>
    <t xml:space="preserve">Calves.</t>
  </si>
  <si>
    <t xml:space="preserve">Hanging Leg Raise</t>
  </si>
  <si>
    <t xml:space="preserve">Core</t>
  </si>
  <si>
    <t xml:space="preserve">Abs + decompress after squats.</t>
  </si>
  <si>
    <t xml:space="preserve">DAY 3 — UPPER B  (Thu)</t>
  </si>
  <si>
    <t xml:space="preserve">Incline Dumbbell Press</t>
  </si>
  <si>
    <t xml:space="preserve">Upper chest.</t>
  </si>
  <si>
    <t xml:space="preserve">Lat Pulldown</t>
  </si>
  <si>
    <t xml:space="preserve">Back width (or Pull-ups).</t>
  </si>
  <si>
    <t xml:space="preserve">Seated Cable Row</t>
  </si>
  <si>
    <t xml:space="preserve">Mid-back thickness.</t>
  </si>
  <si>
    <t xml:space="preserve">DB Shoulder Press</t>
  </si>
  <si>
    <t xml:space="preserve">Shoulders.</t>
  </si>
  <si>
    <t xml:space="preserve">Face Pull</t>
  </si>
  <si>
    <t xml:space="preserve">15-20</t>
  </si>
  <si>
    <t xml:space="preserve">Rear delts + posture.</t>
  </si>
  <si>
    <t xml:space="preserve">Hammer Curl</t>
  </si>
  <si>
    <t xml:space="preserve">Biceps + forearm.</t>
  </si>
  <si>
    <t xml:space="preserve">DAY 4 — LOWER B  (Fri)</t>
  </si>
  <si>
    <t xml:space="preserve">Deadlift</t>
  </si>
  <si>
    <t xml:space="preserve">Posterior chain. Only 3 sets (CNS-heavy).</t>
  </si>
  <si>
    <t xml:space="preserve">Front Squat</t>
  </si>
  <si>
    <t xml:space="preserve">Quad-focused (or Hack Squat).</t>
  </si>
  <si>
    <t xml:space="preserve">Bulgarian Split Squat</t>
  </si>
  <si>
    <t xml:space="preserve">Per leg. Quads + glutes + balance.</t>
  </si>
  <si>
    <t xml:space="preserve">Hip Thrust</t>
  </si>
  <si>
    <t xml:space="preserve">Glutes at peak contraction.</t>
  </si>
  <si>
    <t xml:space="preserve">Seated Leg Curl</t>
  </si>
  <si>
    <t xml:space="preserve">Hamstrings.</t>
  </si>
  <si>
    <t xml:space="preserve">WEEKLY VOLUME CHECK  (sets per muscle — target 10+)</t>
  </si>
  <si>
    <t xml:space="preserve">Muscle</t>
  </si>
  <si>
    <t xml:space="preserve">Direct Sets/Week</t>
  </si>
  <si>
    <t xml:space="preserve">In Zone?</t>
  </si>
  <si>
    <t xml:space="preserve">Notes</t>
  </si>
  <si>
    <t xml:space="preserve">Chest</t>
  </si>
  <si>
    <t xml:space="preserve">~10 w/ presses</t>
  </si>
  <si>
    <t xml:space="preserve">Bench 4 + Incline DB 4, plus indirect from OHP/DB press</t>
  </si>
  <si>
    <t xml:space="preserve">Back</t>
  </si>
  <si>
    <t xml:space="preserve">YES</t>
  </si>
  <si>
    <t xml:space="preserve">Row 4 + Pulldown 4 + Cable Row 3</t>
  </si>
  <si>
    <t xml:space="preserve">Shoulders</t>
  </si>
  <si>
    <t xml:space="preserve">OHP 3 + Lateral 3 + DB Press 3 + Face Pull 3 (all heads)</t>
  </si>
  <si>
    <t xml:space="preserve">Biceps</t>
  </si>
  <si>
    <t xml:space="preserve">~10 w/ pulls</t>
  </si>
  <si>
    <t xml:space="preserve">Curl 3 + Hammer 3, plus heavy indirect from rows/pulldowns</t>
  </si>
  <si>
    <t xml:space="preserve">Triceps</t>
  </si>
  <si>
    <t xml:space="preserve">~9 w/ presses</t>
  </si>
  <si>
    <t xml:space="preserve">Pushdown 3, plus large indirect from all pressing</t>
  </si>
  <si>
    <t xml:space="preserve">Quads</t>
  </si>
  <si>
    <t xml:space="preserve">Squat 4 + Leg Press 3 + Front Squat 3 + Bulgarian 3</t>
  </si>
  <si>
    <t xml:space="preserve">Hamstrings</t>
  </si>
  <si>
    <t xml:space="preserve">RDL 3 + Lying Curl 3 + Deadlift 3 + Seated Curl 3</t>
  </si>
  <si>
    <t xml:space="preserve">Glutes</t>
  </si>
  <si>
    <t xml:space="preserve">Hip Thrust 3 + Bulgarian 3 + indirect from squat/DL/RDL</t>
  </si>
  <si>
    <t xml:space="preserve">Calves</t>
  </si>
  <si>
    <t xml:space="preserve">bump to 10</t>
  </si>
  <si>
    <t xml:space="preserve">4 + 4 — make it 5+5 if calves lag</t>
  </si>
  <si>
    <t xml:space="preserve">PROGRESSION RULES — DOUBLE PROGRESSION</t>
  </si>
  <si>
    <t xml:space="preserve">Climb the rep range first, then add weight. Read top to bottom — this answers every "should I add weight or reps?" moment.</t>
  </si>
  <si>
    <t xml:space="preserve">THE CORE LOOP</t>
  </si>
  <si>
    <t xml:space="preserve">•</t>
  </si>
  <si>
    <t xml:space="preserve">Every exercise has a rep range (on the Plan tab). You work inside it.</t>
  </si>
  <si>
    <t xml:space="preserve">ADD REPS when: you are inside the range but not yet at the top. Keep the weight, get 1+ more reps next time.</t>
  </si>
  <si>
    <t xml:space="preserve">ADD WEIGHT when: you hit the TOP of the range on ALL your sets. Then bump the weight and drop back toward the bottom of the range.</t>
  </si>
  <si>
    <t xml:space="preserve">When unsure: add a rep before you add a plate.</t>
  </si>
  <si>
    <t xml:space="preserve">HOW MUCH WEIGHT TO ADD</t>
  </si>
  <si>
    <t xml:space="preserve">Upper-body lifts: +1.25–2.5 kg (smallest jump / microplates if you have them).</t>
  </si>
  <si>
    <t xml:space="preserve">Lower-body lifts: +2.5–5 kg.</t>
  </si>
  <si>
    <t xml:space="preserve">Isolations (curls, raises, pushdowns): smallest possible jump, then rebuild reps from the bottom.</t>
  </si>
  <si>
    <t xml:space="preserve">EFFORT — what makes a set "count"</t>
  </si>
  <si>
    <t xml:space="preserve">Most sets: stop 2–3 reps short of failure (RIR 2–3). Log the RIR.</t>
  </si>
  <si>
    <t xml:space="preserve">Last set of a safe exercise (machines, cables, curls): you may go to failure (RIR 0–1).</t>
  </si>
  <si>
    <t xml:space="preserve">A set with 4+ reps left in the tank does NOT count toward growth. This is the rule your old 15-rep "too easy" sets broke.</t>
  </si>
  <si>
    <t xml:space="preserve">WHEN TO REDUCE / DELOAD</t>
  </si>
  <si>
    <t xml:space="preserve">If a heavier set lands BELOW the bottom of the range: fine, it still counts. Only slow down if it happens on every set.</t>
  </si>
  <si>
    <t xml:space="preserve">STALL = cannot add a rep or weight for 2–3 sessions straight on a lift. That is the signal, not a single bad day.</t>
  </si>
  <si>
    <t xml:space="preserve">Planned deload every 8–12 weeks (or at a stall): one week at ~half the sets and easy weight (RPE 5–6). Keep all the movements. Come back and resume climbing.</t>
  </si>
  <si>
    <t xml:space="preserve">VOLUME (how you reach the maximal zone)</t>
  </si>
  <si>
    <t xml:space="preserve">Target 10–20 hard sets per muscle per week. This plan starts you at the bottom of that band.</t>
  </si>
  <si>
    <t xml:space="preserve">If recovery is good and you are progressing, the volume is right — do not chase more for its own sake.</t>
  </si>
  <si>
    <t xml:space="preserve">If a muscle lags AND you are recovering well, add 1 set to it. If you feel beat up / sleep poorly, you are near your ceiling — hold or deload.</t>
  </si>
  <si>
    <t xml:space="preserve">WORKED EXAMPLE</t>
  </si>
  <si>
    <t xml:space="preserve">1</t>
  </si>
  <si>
    <t xml:space="preserve">Bench Press, range 5–8. You do 20 kg × 8, 8, 8 → all sets hit the top (8). Next session add weight: 22.5 kg.</t>
  </si>
  <si>
    <t xml:space="preserve">2</t>
  </si>
  <si>
    <t xml:space="preserve">At 22.5 kg you get 7, 6, 6 → not at the top yet. Keep 22.5 kg, push for more reps next time.</t>
  </si>
  <si>
    <t xml:space="preserve">3</t>
  </si>
  <si>
    <t xml:space="preserve">Sessions later you reach 22.5 kg × 8, 8, 8 → top again → go to 25 kg. That is the whole game, forever.</t>
  </si>
  <si>
    <t xml:space="preserve">WORKOUT LOG</t>
  </si>
  <si>
    <t xml:space="preserve">Fill the blue columns only. Day codes: UA / LA / UB / LB. Grey columns calculate themselves.</t>
  </si>
  <si>
    <t xml:space="preserve">Date</t>
  </si>
  <si>
    <t xml:space="preserve">Day</t>
  </si>
  <si>
    <t xml:space="preserve">Weight (kg)</t>
  </si>
  <si>
    <t xml:space="preserve">RIR</t>
  </si>
  <si>
    <t xml:space="preserve">Volume</t>
  </si>
  <si>
    <t xml:space="preserve">Est.1RM</t>
  </si>
  <si>
    <t xml:space="preserve">UA</t>
  </si>
  <si>
    <t xml:space="preserve">all sets hit top</t>
  </si>
  <si>
    <t xml:space="preserve">not at top yet</t>
  </si>
  <si>
    <t xml:space="preserve">LA</t>
  </si>
  <si>
    <t xml:space="preserve">one short of top</t>
  </si>
  <si>
    <t xml:space="preserve">PROGRESS &amp; NEXT MOVE</t>
  </si>
  <si>
    <t xml:space="preserve">"Next Move" reads your last session and tells you the double-progression call. ⬆ = hit top of range on all sets, add weight. ➕ = climb reps first.</t>
  </si>
  <si>
    <t xml:space="preserve">Rep Range</t>
  </si>
  <si>
    <t xml:space="preserve">Best Est.1RM (kg)</t>
  </si>
  <si>
    <t xml:space="preserve">Last Weight (kg)</t>
  </si>
  <si>
    <t xml:space="preserve">Last Session — Lowest Reps</t>
  </si>
  <si>
    <t xml:space="preserve">Next Move</t>
  </si>
  <si>
    <t xml:space="preserve">ONE-TIME SETUP  (turns on the automation)</t>
  </si>
  <si>
    <t xml:space="preserve">Open this file in Google Sheets (in Google Drive: right-click the file → Open with → Google Sheets, or File → Import).</t>
  </si>
  <si>
    <t xml:space="preserve">In Google Sheets, go to the top menu: Extensions → Apps Script.</t>
  </si>
  <si>
    <t xml:space="preserve">Delete whatever code is there, paste in the script I gave you (the .gs file), and click the Save icon.</t>
  </si>
  <si>
    <t xml:space="preserve">4</t>
  </si>
  <si>
    <t xml:space="preserve">Close the Apps Script tab and reload your Google Sheet. A new "💪 Workout" menu appears in the top bar.</t>
  </si>
  <si>
    <t xml:space="preserve">5</t>
  </si>
  <si>
    <t xml:space="preserve">First time you use it, Google asks you to authorize the script — approve it (it only touches this sheet).</t>
  </si>
  <si>
    <t xml:space="preserve">— Done. —</t>
  </si>
  <si>
    <t xml:space="preserve">HOW YOU USE IT EACH SESSION:</t>
  </si>
  <si>
    <t xml:space="preserve">💪 Workout → Start Today's Session → pick UA / LA / UB / LB.</t>
  </si>
  <si>
    <t xml:space="preserve">The Today tab fills with that day's exercises, the target rep range, and a suggested weight (already bumped if you earned it last time).</t>
  </si>
  <si>
    <t xml:space="preserve">Type the reps you actually hit in the Reps column. Adjust weight only if it differs from the suggestion.</t>
  </si>
  <si>
    <t xml:space="preserve">💪 Workout → Save Session. It files everything into the Log with today's date and refreshes the signals.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</si>
</sst>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;\-#,##0;\-"/>
    <numFmt numFmtId="167" formatCode="0.0;\-0.0;\-"/>
    <numFmt numFmtId="168" formatCode="0.0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5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C8A"/>
        <bgColor rgb="FF1F4E78"/>
      </patternFill>
    </fill>
    <fill>
      <patternFill patternType="solid">
        <fgColor rgb="FFD9E1F2"/>
        <bgColor rgb="FFDDEBF7"/>
      </patternFill>
    </fill>
    <fill>
      <patternFill patternType="solid">
        <fgColor rgb="FF8A4A2E"/>
        <bgColor rgb="FF993366"/>
      </patternFill>
    </fill>
    <fill>
      <patternFill patternType="solid">
        <fgColor rgb="FF1F4E78"/>
        <bgColor rgb="FF2E5C8A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DEBF7"/>
      </patternFill>
    </fill>
    <fill>
      <patternFill patternType="solid">
        <fgColor rgb="FFD0CECE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C8A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A4A2E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2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3" t="s">
        <v>3</v>
      </c>
      <c r="B6" s="3"/>
      <c r="C6" s="3"/>
      <c r="D6" s="3"/>
      <c r="E6" s="3"/>
      <c r="F6" s="3"/>
    </row>
  </sheetData>
  <mergeCells count="4">
    <mergeCell ref="A1:F1"/>
    <mergeCell ref="A3:F3"/>
    <mergeCell ref="A4:F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6"/>
    <col collapsed="false" customWidth="true" hidden="false" outlineLevel="0" max="2" min="2" style="4" width="14"/>
    <col collapsed="false" customWidth="true" hidden="false" outlineLevel="0" max="3" min="3" style="4" width="16"/>
    <col collapsed="false" customWidth="true" hidden="false" outlineLevel="0" max="4" min="4" style="4" width="4"/>
    <col collapsed="false" customWidth="true" hidden="false" outlineLevel="0" max="5" min="5" style="4" width="46"/>
  </cols>
  <sheetData>
    <row r="1" customFormat="false" ht="19.5" hidden="false" customHeight="true" outlineLevel="0" collapsed="false">
      <c r="A1" s="5" t="s">
        <v>4</v>
      </c>
      <c r="B1" s="5"/>
      <c r="C1" s="5"/>
      <c r="D1" s="5"/>
      <c r="E1" s="5"/>
    </row>
    <row r="2" customFormat="false" ht="15" hidden="false" customHeight="true" outlineLevel="0" collapsed="false">
      <c r="A2" s="6" t="s">
        <v>5</v>
      </c>
      <c r="B2" s="6"/>
      <c r="C2" s="6"/>
      <c r="D2" s="6"/>
      <c r="E2" s="6"/>
    </row>
    <row r="4" customFormat="false" ht="15.75" hidden="false" customHeight="true" outlineLevel="0" collapsed="false">
      <c r="A4" s="7" t="s">
        <v>6</v>
      </c>
      <c r="B4" s="7"/>
      <c r="C4" s="7"/>
      <c r="D4" s="7"/>
      <c r="E4" s="7"/>
    </row>
    <row r="5" customFormat="false" ht="15" hidden="false" customHeight="true" outlineLevel="0" collapsed="false">
      <c r="A5" s="8" t="s">
        <v>7</v>
      </c>
      <c r="B5" s="9" t="s">
        <v>8</v>
      </c>
      <c r="C5" s="9" t="s">
        <v>9</v>
      </c>
      <c r="D5" s="9" t="s">
        <v>10</v>
      </c>
      <c r="E5" s="8" t="s">
        <v>11</v>
      </c>
    </row>
    <row r="6" customFormat="false" ht="15" hidden="false" customHeight="true" outlineLevel="0" collapsed="false">
      <c r="A6" s="10" t="s">
        <v>12</v>
      </c>
      <c r="B6" s="11" t="n">
        <v>4</v>
      </c>
      <c r="C6" s="11" t="s">
        <v>13</v>
      </c>
      <c r="D6" s="11" t="s">
        <v>14</v>
      </c>
      <c r="E6" s="12" t="s">
        <v>15</v>
      </c>
    </row>
    <row r="7" customFormat="false" ht="15" hidden="false" customHeight="true" outlineLevel="0" collapsed="false">
      <c r="A7" s="10" t="s">
        <v>16</v>
      </c>
      <c r="B7" s="11" t="n">
        <v>4</v>
      </c>
      <c r="C7" s="11" t="s">
        <v>13</v>
      </c>
      <c r="D7" s="11" t="s">
        <v>14</v>
      </c>
      <c r="E7" s="12" t="s">
        <v>17</v>
      </c>
    </row>
    <row r="8" customFormat="false" ht="15" hidden="false" customHeight="true" outlineLevel="0" collapsed="false">
      <c r="A8" s="10" t="s">
        <v>18</v>
      </c>
      <c r="B8" s="11" t="n">
        <v>3</v>
      </c>
      <c r="C8" s="11" t="s">
        <v>19</v>
      </c>
      <c r="D8" s="11" t="s">
        <v>20</v>
      </c>
      <c r="E8" s="12" t="s">
        <v>21</v>
      </c>
    </row>
    <row r="9" customFormat="false" ht="15" hidden="false" customHeight="true" outlineLevel="0" collapsed="false">
      <c r="A9" s="10" t="s">
        <v>22</v>
      </c>
      <c r="B9" s="11" t="n">
        <v>3</v>
      </c>
      <c r="C9" s="11" t="s">
        <v>23</v>
      </c>
      <c r="D9" s="11" t="s">
        <v>24</v>
      </c>
      <c r="E9" s="12" t="s">
        <v>25</v>
      </c>
    </row>
    <row r="10" customFormat="false" ht="15" hidden="false" customHeight="true" outlineLevel="0" collapsed="false">
      <c r="A10" s="10" t="s">
        <v>26</v>
      </c>
      <c r="B10" s="11" t="n">
        <v>3</v>
      </c>
      <c r="C10" s="11" t="s">
        <v>27</v>
      </c>
      <c r="D10" s="11" t="s">
        <v>24</v>
      </c>
      <c r="E10" s="12" t="s">
        <v>28</v>
      </c>
    </row>
    <row r="11" customFormat="false" ht="15" hidden="false" customHeight="true" outlineLevel="0" collapsed="false">
      <c r="A11" s="10" t="s">
        <v>29</v>
      </c>
      <c r="B11" s="11" t="n">
        <v>3</v>
      </c>
      <c r="C11" s="11" t="s">
        <v>27</v>
      </c>
      <c r="D11" s="11" t="s">
        <v>24</v>
      </c>
      <c r="E11" s="12" t="s">
        <v>30</v>
      </c>
    </row>
    <row r="13" customFormat="false" ht="15.75" hidden="false" customHeight="true" outlineLevel="0" collapsed="false">
      <c r="A13" s="13" t="s">
        <v>31</v>
      </c>
      <c r="B13" s="13"/>
      <c r="C13" s="13"/>
      <c r="D13" s="13"/>
      <c r="E13" s="13"/>
    </row>
    <row r="14" customFormat="false" ht="15" hidden="false" customHeight="true" outlineLevel="0" collapsed="false">
      <c r="A14" s="8" t="s">
        <v>7</v>
      </c>
      <c r="B14" s="9" t="s">
        <v>8</v>
      </c>
      <c r="C14" s="9" t="s">
        <v>9</v>
      </c>
      <c r="D14" s="9" t="s">
        <v>10</v>
      </c>
      <c r="E14" s="8" t="s">
        <v>11</v>
      </c>
    </row>
    <row r="15" customFormat="false" ht="15" hidden="false" customHeight="true" outlineLevel="0" collapsed="false">
      <c r="A15" s="10" t="s">
        <v>32</v>
      </c>
      <c r="B15" s="11" t="n">
        <v>4</v>
      </c>
      <c r="C15" s="11" t="s">
        <v>13</v>
      </c>
      <c r="D15" s="11" t="s">
        <v>14</v>
      </c>
      <c r="E15" s="12" t="s">
        <v>33</v>
      </c>
    </row>
    <row r="16" customFormat="false" ht="15" hidden="false" customHeight="true" outlineLevel="0" collapsed="false">
      <c r="A16" s="10" t="s">
        <v>34</v>
      </c>
      <c r="B16" s="11" t="n">
        <v>3</v>
      </c>
      <c r="C16" s="11" t="s">
        <v>35</v>
      </c>
      <c r="D16" s="11" t="s">
        <v>20</v>
      </c>
      <c r="E16" s="12" t="s">
        <v>36</v>
      </c>
    </row>
    <row r="17" customFormat="false" ht="15" hidden="false" customHeight="true" outlineLevel="0" collapsed="false">
      <c r="A17" s="10" t="s">
        <v>37</v>
      </c>
      <c r="B17" s="11" t="n">
        <v>3</v>
      </c>
      <c r="C17" s="11" t="s">
        <v>35</v>
      </c>
      <c r="D17" s="11" t="s">
        <v>20</v>
      </c>
      <c r="E17" s="12" t="s">
        <v>38</v>
      </c>
    </row>
    <row r="18" customFormat="false" ht="15" hidden="false" customHeight="true" outlineLevel="0" collapsed="false">
      <c r="A18" s="10" t="s">
        <v>39</v>
      </c>
      <c r="B18" s="11" t="n">
        <v>3</v>
      </c>
      <c r="C18" s="11" t="s">
        <v>27</v>
      </c>
      <c r="D18" s="11" t="s">
        <v>24</v>
      </c>
      <c r="E18" s="12" t="s">
        <v>40</v>
      </c>
    </row>
    <row r="19" customFormat="false" ht="15" hidden="false" customHeight="true" outlineLevel="0" collapsed="false">
      <c r="A19" s="10" t="s">
        <v>41</v>
      </c>
      <c r="B19" s="11" t="n">
        <v>4</v>
      </c>
      <c r="C19" s="11" t="s">
        <v>27</v>
      </c>
      <c r="D19" s="11" t="s">
        <v>24</v>
      </c>
      <c r="E19" s="12" t="s">
        <v>42</v>
      </c>
    </row>
    <row r="20" customFormat="false" ht="15" hidden="false" customHeight="true" outlineLevel="0" collapsed="false">
      <c r="A20" s="10" t="s">
        <v>43</v>
      </c>
      <c r="B20" s="11" t="n">
        <v>3</v>
      </c>
      <c r="C20" s="11" t="s">
        <v>27</v>
      </c>
      <c r="D20" s="11" t="s">
        <v>44</v>
      </c>
      <c r="E20" s="12" t="s">
        <v>45</v>
      </c>
    </row>
    <row r="22" customFormat="false" ht="15.75" hidden="false" customHeight="true" outlineLevel="0" collapsed="false">
      <c r="A22" s="7" t="s">
        <v>46</v>
      </c>
      <c r="B22" s="7"/>
      <c r="C22" s="7"/>
      <c r="D22" s="7"/>
      <c r="E22" s="7"/>
    </row>
    <row r="23" customFormat="false" ht="15" hidden="false" customHeight="true" outlineLevel="0" collapsed="false">
      <c r="A23" s="8" t="s">
        <v>7</v>
      </c>
      <c r="B23" s="9" t="s">
        <v>8</v>
      </c>
      <c r="C23" s="9" t="s">
        <v>9</v>
      </c>
      <c r="D23" s="9" t="s">
        <v>10</v>
      </c>
      <c r="E23" s="8" t="s">
        <v>11</v>
      </c>
    </row>
    <row r="24" customFormat="false" ht="15" hidden="false" customHeight="true" outlineLevel="0" collapsed="false">
      <c r="A24" s="10" t="s">
        <v>47</v>
      </c>
      <c r="B24" s="11" t="n">
        <v>4</v>
      </c>
      <c r="C24" s="11" t="s">
        <v>35</v>
      </c>
      <c r="D24" s="11" t="s">
        <v>14</v>
      </c>
      <c r="E24" s="12" t="s">
        <v>48</v>
      </c>
    </row>
    <row r="25" customFormat="false" ht="15" hidden="false" customHeight="true" outlineLevel="0" collapsed="false">
      <c r="A25" s="10" t="s">
        <v>49</v>
      </c>
      <c r="B25" s="11" t="n">
        <v>4</v>
      </c>
      <c r="C25" s="11" t="s">
        <v>19</v>
      </c>
      <c r="D25" s="11" t="s">
        <v>14</v>
      </c>
      <c r="E25" s="12" t="s">
        <v>50</v>
      </c>
    </row>
    <row r="26" customFormat="false" ht="15" hidden="false" customHeight="true" outlineLevel="0" collapsed="false">
      <c r="A26" s="10" t="s">
        <v>51</v>
      </c>
      <c r="B26" s="11" t="n">
        <v>3</v>
      </c>
      <c r="C26" s="11" t="s">
        <v>35</v>
      </c>
      <c r="D26" s="11" t="s">
        <v>20</v>
      </c>
      <c r="E26" s="12" t="s">
        <v>52</v>
      </c>
    </row>
    <row r="27" customFormat="false" ht="15" hidden="false" customHeight="true" outlineLevel="0" collapsed="false">
      <c r="A27" s="10" t="s">
        <v>53</v>
      </c>
      <c r="B27" s="11" t="n">
        <v>3</v>
      </c>
      <c r="C27" s="11" t="s">
        <v>35</v>
      </c>
      <c r="D27" s="11" t="s">
        <v>20</v>
      </c>
      <c r="E27" s="12" t="s">
        <v>54</v>
      </c>
    </row>
    <row r="28" customFormat="false" ht="15" hidden="false" customHeight="true" outlineLevel="0" collapsed="false">
      <c r="A28" s="10" t="s">
        <v>55</v>
      </c>
      <c r="B28" s="11" t="n">
        <v>3</v>
      </c>
      <c r="C28" s="11" t="s">
        <v>56</v>
      </c>
      <c r="D28" s="11" t="s">
        <v>24</v>
      </c>
      <c r="E28" s="12" t="s">
        <v>57</v>
      </c>
    </row>
    <row r="29" customFormat="false" ht="15" hidden="false" customHeight="true" outlineLevel="0" collapsed="false">
      <c r="A29" s="10" t="s">
        <v>58</v>
      </c>
      <c r="B29" s="11" t="n">
        <v>3</v>
      </c>
      <c r="C29" s="11" t="s">
        <v>27</v>
      </c>
      <c r="D29" s="11" t="s">
        <v>24</v>
      </c>
      <c r="E29" s="12" t="s">
        <v>59</v>
      </c>
    </row>
    <row r="31" customFormat="false" ht="15.75" hidden="false" customHeight="true" outlineLevel="0" collapsed="false">
      <c r="A31" s="13" t="s">
        <v>60</v>
      </c>
      <c r="B31" s="13"/>
      <c r="C31" s="13"/>
      <c r="D31" s="13"/>
      <c r="E31" s="13"/>
    </row>
    <row r="32" customFormat="false" ht="15" hidden="false" customHeight="true" outlineLevel="0" collapsed="false">
      <c r="A32" s="8" t="s">
        <v>7</v>
      </c>
      <c r="B32" s="9" t="s">
        <v>8</v>
      </c>
      <c r="C32" s="9" t="s">
        <v>9</v>
      </c>
      <c r="D32" s="9" t="s">
        <v>10</v>
      </c>
      <c r="E32" s="8" t="s">
        <v>11</v>
      </c>
    </row>
    <row r="33" customFormat="false" ht="15" hidden="false" customHeight="true" outlineLevel="0" collapsed="false">
      <c r="A33" s="10" t="s">
        <v>61</v>
      </c>
      <c r="B33" s="11" t="n">
        <v>3</v>
      </c>
      <c r="C33" s="11" t="s">
        <v>13</v>
      </c>
      <c r="D33" s="11" t="s">
        <v>14</v>
      </c>
      <c r="E33" s="12" t="s">
        <v>62</v>
      </c>
    </row>
    <row r="34" customFormat="false" ht="15" hidden="false" customHeight="true" outlineLevel="0" collapsed="false">
      <c r="A34" s="10" t="s">
        <v>63</v>
      </c>
      <c r="B34" s="11" t="n">
        <v>3</v>
      </c>
      <c r="C34" s="11" t="s">
        <v>35</v>
      </c>
      <c r="D34" s="11" t="s">
        <v>20</v>
      </c>
      <c r="E34" s="12" t="s">
        <v>64</v>
      </c>
    </row>
    <row r="35" customFormat="false" ht="15" hidden="false" customHeight="true" outlineLevel="0" collapsed="false">
      <c r="A35" s="10" t="s">
        <v>65</v>
      </c>
      <c r="B35" s="11" t="n">
        <v>3</v>
      </c>
      <c r="C35" s="11" t="s">
        <v>35</v>
      </c>
      <c r="D35" s="11" t="s">
        <v>20</v>
      </c>
      <c r="E35" s="12" t="s">
        <v>66</v>
      </c>
    </row>
    <row r="36" customFormat="false" ht="15" hidden="false" customHeight="true" outlineLevel="0" collapsed="false">
      <c r="A36" s="10" t="s">
        <v>67</v>
      </c>
      <c r="B36" s="11" t="n">
        <v>3</v>
      </c>
      <c r="C36" s="11" t="s">
        <v>35</v>
      </c>
      <c r="D36" s="11" t="s">
        <v>20</v>
      </c>
      <c r="E36" s="12" t="s">
        <v>68</v>
      </c>
    </row>
    <row r="37" customFormat="false" ht="15" hidden="false" customHeight="true" outlineLevel="0" collapsed="false">
      <c r="A37" s="10" t="s">
        <v>69</v>
      </c>
      <c r="B37" s="11" t="n">
        <v>3</v>
      </c>
      <c r="C37" s="11" t="s">
        <v>27</v>
      </c>
      <c r="D37" s="11" t="s">
        <v>24</v>
      </c>
      <c r="E37" s="12" t="s">
        <v>70</v>
      </c>
    </row>
    <row r="38" customFormat="false" ht="15" hidden="false" customHeight="true" outlineLevel="0" collapsed="false">
      <c r="A38" s="10" t="s">
        <v>41</v>
      </c>
      <c r="B38" s="11" t="n">
        <v>4</v>
      </c>
      <c r="C38" s="11" t="s">
        <v>27</v>
      </c>
      <c r="D38" s="11" t="s">
        <v>24</v>
      </c>
      <c r="E38" s="12" t="s">
        <v>42</v>
      </c>
    </row>
    <row r="40" customFormat="false" ht="15" hidden="false" customHeight="true" outlineLevel="0" collapsed="false">
      <c r="A40" s="14" t="s">
        <v>71</v>
      </c>
      <c r="B40" s="14"/>
      <c r="C40" s="14"/>
      <c r="D40" s="14"/>
      <c r="E40" s="14"/>
    </row>
    <row r="41" customFormat="false" ht="15" hidden="false" customHeight="true" outlineLevel="0" collapsed="false">
      <c r="A41" s="8" t="s">
        <v>72</v>
      </c>
      <c r="B41" s="9" t="s">
        <v>73</v>
      </c>
      <c r="C41" s="9" t="s">
        <v>74</v>
      </c>
      <c r="D41" s="8"/>
      <c r="E41" s="8" t="s">
        <v>75</v>
      </c>
    </row>
    <row r="42" customFormat="false" ht="15" hidden="false" customHeight="true" outlineLevel="0" collapsed="false">
      <c r="A42" s="15" t="s">
        <v>76</v>
      </c>
      <c r="B42" s="11" t="n">
        <v>8</v>
      </c>
      <c r="C42" s="16" t="s">
        <v>77</v>
      </c>
      <c r="D42" s="16"/>
      <c r="E42" s="12" t="s">
        <v>78</v>
      </c>
    </row>
    <row r="43" customFormat="false" ht="15" hidden="false" customHeight="true" outlineLevel="0" collapsed="false">
      <c r="A43" s="15" t="s">
        <v>79</v>
      </c>
      <c r="B43" s="11" t="n">
        <v>11</v>
      </c>
      <c r="C43" s="17" t="s">
        <v>80</v>
      </c>
      <c r="D43" s="17"/>
      <c r="E43" s="12" t="s">
        <v>81</v>
      </c>
    </row>
    <row r="44" customFormat="false" ht="15" hidden="false" customHeight="true" outlineLevel="0" collapsed="false">
      <c r="A44" s="15" t="s">
        <v>82</v>
      </c>
      <c r="B44" s="11" t="n">
        <v>12</v>
      </c>
      <c r="C44" s="17" t="s">
        <v>80</v>
      </c>
      <c r="D44" s="17"/>
      <c r="E44" s="12" t="s">
        <v>83</v>
      </c>
    </row>
    <row r="45" customFormat="false" ht="15" hidden="false" customHeight="true" outlineLevel="0" collapsed="false">
      <c r="A45" s="15" t="s">
        <v>84</v>
      </c>
      <c r="B45" s="11" t="n">
        <v>6</v>
      </c>
      <c r="C45" s="16" t="s">
        <v>85</v>
      </c>
      <c r="D45" s="16"/>
      <c r="E45" s="12" t="s">
        <v>86</v>
      </c>
    </row>
    <row r="46" customFormat="false" ht="15" hidden="false" customHeight="true" outlineLevel="0" collapsed="false">
      <c r="A46" s="15" t="s">
        <v>87</v>
      </c>
      <c r="B46" s="11" t="n">
        <v>3</v>
      </c>
      <c r="C46" s="16" t="s">
        <v>88</v>
      </c>
      <c r="D46" s="16"/>
      <c r="E46" s="12" t="s">
        <v>89</v>
      </c>
    </row>
    <row r="47" customFormat="false" ht="15" hidden="false" customHeight="true" outlineLevel="0" collapsed="false">
      <c r="A47" s="15" t="s">
        <v>90</v>
      </c>
      <c r="B47" s="11" t="n">
        <v>13</v>
      </c>
      <c r="C47" s="17" t="s">
        <v>80</v>
      </c>
      <c r="D47" s="17"/>
      <c r="E47" s="12" t="s">
        <v>91</v>
      </c>
    </row>
    <row r="48" customFormat="false" ht="15" hidden="false" customHeight="true" outlineLevel="0" collapsed="false">
      <c r="A48" s="15" t="s">
        <v>92</v>
      </c>
      <c r="B48" s="11" t="n">
        <v>12</v>
      </c>
      <c r="C48" s="17" t="s">
        <v>80</v>
      </c>
      <c r="D48" s="17"/>
      <c r="E48" s="12" t="s">
        <v>93</v>
      </c>
    </row>
    <row r="49" customFormat="false" ht="15" hidden="false" customHeight="true" outlineLevel="0" collapsed="false">
      <c r="A49" s="15" t="s">
        <v>94</v>
      </c>
      <c r="B49" s="11" t="n">
        <v>10</v>
      </c>
      <c r="C49" s="17" t="s">
        <v>80</v>
      </c>
      <c r="D49" s="17"/>
      <c r="E49" s="12" t="s">
        <v>95</v>
      </c>
    </row>
    <row r="50" customFormat="false" ht="15" hidden="false" customHeight="true" outlineLevel="0" collapsed="false">
      <c r="A50" s="15" t="s">
        <v>96</v>
      </c>
      <c r="B50" s="11" t="n">
        <v>8</v>
      </c>
      <c r="C50" s="16" t="s">
        <v>97</v>
      </c>
      <c r="D50" s="16"/>
      <c r="E50" s="12" t="s">
        <v>98</v>
      </c>
    </row>
  </sheetData>
  <mergeCells count="16">
    <mergeCell ref="A1:E1"/>
    <mergeCell ref="A2:E2"/>
    <mergeCell ref="A4:E4"/>
    <mergeCell ref="A13:E13"/>
    <mergeCell ref="A22:E22"/>
    <mergeCell ref="A31:E31"/>
    <mergeCell ref="A40:E40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2" min="2" style="4" width="92"/>
  </cols>
  <sheetData>
    <row r="1" customFormat="false" ht="19.5" hidden="false" customHeight="true" outlineLevel="0" collapsed="false">
      <c r="A1" s="5" t="s">
        <v>99</v>
      </c>
      <c r="B1" s="5"/>
    </row>
    <row r="2" customFormat="false" ht="15" hidden="false" customHeight="true" outlineLevel="0" collapsed="false">
      <c r="A2" s="6" t="s">
        <v>100</v>
      </c>
      <c r="B2" s="6"/>
    </row>
    <row r="4" customFormat="false" ht="30" hidden="false" customHeight="true" outlineLevel="0" collapsed="false">
      <c r="A4" s="14" t="s">
        <v>101</v>
      </c>
      <c r="B4" s="14"/>
    </row>
    <row r="5" customFormat="false" ht="30" hidden="false" customHeight="true" outlineLevel="0" collapsed="false">
      <c r="A5" s="18" t="s">
        <v>102</v>
      </c>
      <c r="B5" s="19" t="s">
        <v>103</v>
      </c>
    </row>
    <row r="6" customFormat="false" ht="30" hidden="false" customHeight="true" outlineLevel="0" collapsed="false">
      <c r="A6" s="18" t="s">
        <v>102</v>
      </c>
      <c r="B6" s="19" t="s">
        <v>104</v>
      </c>
    </row>
    <row r="7" customFormat="false" ht="30" hidden="false" customHeight="true" outlineLevel="0" collapsed="false">
      <c r="A7" s="18" t="s">
        <v>102</v>
      </c>
      <c r="B7" s="19" t="s">
        <v>105</v>
      </c>
    </row>
    <row r="8" customFormat="false" ht="30" hidden="false" customHeight="true" outlineLevel="0" collapsed="false">
      <c r="A8" s="18" t="s">
        <v>102</v>
      </c>
      <c r="B8" s="19" t="s">
        <v>106</v>
      </c>
    </row>
    <row r="9" customFormat="false" ht="30" hidden="false" customHeight="true" outlineLevel="0" collapsed="false"/>
    <row r="10" customFormat="false" ht="30" hidden="false" customHeight="true" outlineLevel="0" collapsed="false">
      <c r="A10" s="14" t="s">
        <v>107</v>
      </c>
      <c r="B10" s="14"/>
    </row>
    <row r="11" customFormat="false" ht="30" hidden="false" customHeight="true" outlineLevel="0" collapsed="false">
      <c r="A11" s="18" t="s">
        <v>102</v>
      </c>
      <c r="B11" s="19" t="s">
        <v>108</v>
      </c>
    </row>
    <row r="12" customFormat="false" ht="30" hidden="false" customHeight="true" outlineLevel="0" collapsed="false">
      <c r="A12" s="18" t="s">
        <v>102</v>
      </c>
      <c r="B12" s="19" t="s">
        <v>109</v>
      </c>
    </row>
    <row r="13" customFormat="false" ht="30" hidden="false" customHeight="true" outlineLevel="0" collapsed="false">
      <c r="A13" s="18" t="s">
        <v>102</v>
      </c>
      <c r="B13" s="19" t="s">
        <v>110</v>
      </c>
    </row>
    <row r="14" customFormat="false" ht="30" hidden="false" customHeight="true" outlineLevel="0" collapsed="false"/>
    <row r="15" customFormat="false" ht="30" hidden="false" customHeight="true" outlineLevel="0" collapsed="false">
      <c r="A15" s="14" t="s">
        <v>111</v>
      </c>
      <c r="B15" s="14"/>
    </row>
    <row r="16" customFormat="false" ht="30" hidden="false" customHeight="true" outlineLevel="0" collapsed="false">
      <c r="A16" s="18" t="s">
        <v>102</v>
      </c>
      <c r="B16" s="19" t="s">
        <v>112</v>
      </c>
    </row>
    <row r="17" customFormat="false" ht="30" hidden="false" customHeight="true" outlineLevel="0" collapsed="false">
      <c r="A17" s="18" t="s">
        <v>102</v>
      </c>
      <c r="B17" s="19" t="s">
        <v>113</v>
      </c>
    </row>
    <row r="18" customFormat="false" ht="30" hidden="false" customHeight="true" outlineLevel="0" collapsed="false">
      <c r="A18" s="18" t="s">
        <v>102</v>
      </c>
      <c r="B18" s="19" t="s">
        <v>114</v>
      </c>
    </row>
    <row r="19" customFormat="false" ht="30" hidden="false" customHeight="true" outlineLevel="0" collapsed="false"/>
    <row r="20" customFormat="false" ht="30" hidden="false" customHeight="true" outlineLevel="0" collapsed="false">
      <c r="A20" s="14" t="s">
        <v>115</v>
      </c>
      <c r="B20" s="14"/>
    </row>
    <row r="21" customFormat="false" ht="30" hidden="false" customHeight="true" outlineLevel="0" collapsed="false">
      <c r="A21" s="18" t="s">
        <v>102</v>
      </c>
      <c r="B21" s="19" t="s">
        <v>116</v>
      </c>
    </row>
    <row r="22" customFormat="false" ht="30" hidden="false" customHeight="true" outlineLevel="0" collapsed="false">
      <c r="A22" s="18" t="s">
        <v>102</v>
      </c>
      <c r="B22" s="19" t="s">
        <v>117</v>
      </c>
    </row>
    <row r="23" customFormat="false" ht="30" hidden="false" customHeight="true" outlineLevel="0" collapsed="false">
      <c r="A23" s="18" t="s">
        <v>102</v>
      </c>
      <c r="B23" s="19" t="s">
        <v>118</v>
      </c>
    </row>
    <row r="24" customFormat="false" ht="30" hidden="false" customHeight="true" outlineLevel="0" collapsed="false"/>
    <row r="25" customFormat="false" ht="30" hidden="false" customHeight="true" outlineLevel="0" collapsed="false">
      <c r="A25" s="14" t="s">
        <v>119</v>
      </c>
      <c r="B25" s="14"/>
    </row>
    <row r="26" customFormat="false" ht="30" hidden="false" customHeight="true" outlineLevel="0" collapsed="false">
      <c r="A26" s="18" t="s">
        <v>102</v>
      </c>
      <c r="B26" s="19" t="s">
        <v>120</v>
      </c>
    </row>
    <row r="27" customFormat="false" ht="30" hidden="false" customHeight="true" outlineLevel="0" collapsed="false">
      <c r="A27" s="18" t="s">
        <v>102</v>
      </c>
      <c r="B27" s="19" t="s">
        <v>121</v>
      </c>
    </row>
    <row r="28" customFormat="false" ht="30" hidden="false" customHeight="true" outlineLevel="0" collapsed="false">
      <c r="A28" s="18" t="s">
        <v>102</v>
      </c>
      <c r="B28" s="19" t="s">
        <v>122</v>
      </c>
    </row>
    <row r="29" customFormat="false" ht="30" hidden="false" customHeight="true" outlineLevel="0" collapsed="false"/>
    <row r="30" customFormat="false" ht="30" hidden="false" customHeight="true" outlineLevel="0" collapsed="false">
      <c r="A30" s="20" t="s">
        <v>123</v>
      </c>
      <c r="B30" s="20"/>
    </row>
    <row r="31" customFormat="false" ht="30" hidden="false" customHeight="true" outlineLevel="0" collapsed="false">
      <c r="A31" s="21" t="s">
        <v>124</v>
      </c>
      <c r="B31" s="19" t="s">
        <v>125</v>
      </c>
    </row>
    <row r="32" customFormat="false" ht="30" hidden="false" customHeight="true" outlineLevel="0" collapsed="false">
      <c r="A32" s="21" t="s">
        <v>126</v>
      </c>
      <c r="B32" s="19" t="s">
        <v>127</v>
      </c>
    </row>
    <row r="33" customFormat="false" ht="30" hidden="false" customHeight="true" outlineLevel="0" collapsed="false">
      <c r="A33" s="21" t="s">
        <v>128</v>
      </c>
      <c r="B33" s="19" t="s">
        <v>129</v>
      </c>
    </row>
    <row r="34" customFormat="false" ht="30" hidden="false" customHeight="true" outlineLevel="0" collapsed="false"/>
  </sheetData>
  <mergeCells count="8">
    <mergeCell ref="A1:B1"/>
    <mergeCell ref="A2:B2"/>
    <mergeCell ref="A4:B4"/>
    <mergeCell ref="A10:B10"/>
    <mergeCell ref="A15:B15"/>
    <mergeCell ref="A20:B20"/>
    <mergeCell ref="A25:B25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7"/>
    <col collapsed="false" customWidth="true" hidden="false" outlineLevel="0" max="3" min="3" style="4" width="24"/>
    <col collapsed="false" customWidth="true" hidden="false" outlineLevel="0" max="4" min="4" style="4" width="12"/>
    <col collapsed="false" customWidth="true" hidden="false" outlineLevel="0" max="6" min="5" style="4" width="7"/>
    <col collapsed="false" customWidth="true" hidden="false" outlineLevel="0" max="7" min="7" style="4" width="24"/>
    <col collapsed="false" customWidth="true" hidden="false" outlineLevel="0" max="9" min="8" style="4" width="9"/>
  </cols>
  <sheetData>
    <row r="1" customFormat="false" ht="17.25" hidden="false" customHeight="true" outlineLevel="0" collapsed="false">
      <c r="A1" s="22" t="s">
        <v>130</v>
      </c>
      <c r="B1" s="22"/>
      <c r="C1" s="22"/>
      <c r="D1" s="22"/>
      <c r="E1" s="22"/>
      <c r="F1" s="22"/>
      <c r="G1" s="22"/>
    </row>
    <row r="2" customFormat="false" ht="15" hidden="false" customHeight="true" outlineLevel="0" collapsed="false">
      <c r="A2" s="6" t="s">
        <v>131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true" outlineLevel="0" collapsed="false">
      <c r="A3" s="23" t="s">
        <v>132</v>
      </c>
      <c r="B3" s="23" t="s">
        <v>133</v>
      </c>
      <c r="C3" s="23" t="s">
        <v>7</v>
      </c>
      <c r="D3" s="23" t="s">
        <v>134</v>
      </c>
      <c r="E3" s="23" t="s">
        <v>9</v>
      </c>
      <c r="F3" s="23" t="s">
        <v>135</v>
      </c>
      <c r="G3" s="23" t="s">
        <v>75</v>
      </c>
      <c r="H3" s="24" t="s">
        <v>136</v>
      </c>
      <c r="I3" s="24" t="s">
        <v>137</v>
      </c>
    </row>
    <row r="4" customFormat="false" ht="15" hidden="false" customHeight="true" outlineLevel="0" collapsed="false">
      <c r="A4" s="25" t="n">
        <v>46181</v>
      </c>
      <c r="B4" s="26" t="s">
        <v>138</v>
      </c>
      <c r="C4" s="27" t="s">
        <v>12</v>
      </c>
      <c r="D4" s="26" t="n">
        <v>20</v>
      </c>
      <c r="E4" s="26" t="n">
        <v>8</v>
      </c>
      <c r="F4" s="26" t="n">
        <v>2</v>
      </c>
      <c r="G4" s="27"/>
      <c r="H4" s="28" t="n">
        <f aca="false">IF(AND(ISNUMBER(D4),ISNUMBER(E4)),D4*E4,0)</f>
        <v>160</v>
      </c>
      <c r="I4" s="29" t="n">
        <f aca="false">IF(AND(ISNUMBER(D4),ISNUMBER(E4),E4&gt;0),ROUND(D4*(1+E4/30),1),0)</f>
        <v>25.3</v>
      </c>
    </row>
    <row r="5" customFormat="false" ht="15" hidden="false" customHeight="true" outlineLevel="0" collapsed="false">
      <c r="A5" s="25" t="n">
        <v>46181</v>
      </c>
      <c r="B5" s="26" t="s">
        <v>138</v>
      </c>
      <c r="C5" s="27" t="s">
        <v>12</v>
      </c>
      <c r="D5" s="26" t="n">
        <v>20</v>
      </c>
      <c r="E5" s="26" t="n">
        <v>8</v>
      </c>
      <c r="F5" s="26" t="n">
        <v>2</v>
      </c>
      <c r="G5" s="27"/>
      <c r="H5" s="28" t="n">
        <f aca="false">IF(AND(ISNUMBER(D5),ISNUMBER(E5)),D5*E5,0)</f>
        <v>160</v>
      </c>
      <c r="I5" s="29" t="n">
        <f aca="false">IF(AND(ISNUMBER(D5),ISNUMBER(E5),E5&gt;0),ROUND(D5*(1+E5/30),1),0)</f>
        <v>25.3</v>
      </c>
    </row>
    <row r="6" customFormat="false" ht="15" hidden="false" customHeight="true" outlineLevel="0" collapsed="false">
      <c r="A6" s="25" t="n">
        <v>46181</v>
      </c>
      <c r="B6" s="26" t="s">
        <v>138</v>
      </c>
      <c r="C6" s="27" t="s">
        <v>12</v>
      </c>
      <c r="D6" s="26" t="n">
        <v>20</v>
      </c>
      <c r="E6" s="26" t="n">
        <v>8</v>
      </c>
      <c r="F6" s="26" t="n">
        <v>1</v>
      </c>
      <c r="G6" s="27" t="s">
        <v>139</v>
      </c>
      <c r="H6" s="28" t="n">
        <f aca="false">IF(AND(ISNUMBER(D6),ISNUMBER(E6)),D6*E6,0)</f>
        <v>160</v>
      </c>
      <c r="I6" s="29" t="n">
        <f aca="false">IF(AND(ISNUMBER(D6),ISNUMBER(E6),E6&gt;0),ROUND(D6*(1+E6/30),1),0)</f>
        <v>25.3</v>
      </c>
    </row>
    <row r="7" customFormat="false" ht="15" hidden="false" customHeight="true" outlineLevel="0" collapsed="false">
      <c r="A7" s="25" t="n">
        <v>46181</v>
      </c>
      <c r="B7" s="26" t="s">
        <v>138</v>
      </c>
      <c r="C7" s="27" t="s">
        <v>16</v>
      </c>
      <c r="D7" s="26" t="n">
        <v>40</v>
      </c>
      <c r="E7" s="26" t="n">
        <v>7</v>
      </c>
      <c r="F7" s="26" t="n">
        <v>2</v>
      </c>
      <c r="G7" s="27"/>
      <c r="H7" s="28" t="n">
        <f aca="false">IF(AND(ISNUMBER(D7),ISNUMBER(E7)),D7*E7,0)</f>
        <v>280</v>
      </c>
      <c r="I7" s="29" t="n">
        <f aca="false">IF(AND(ISNUMBER(D7),ISNUMBER(E7),E7&gt;0),ROUND(D7*(1+E7/30),1),0)</f>
        <v>49.3</v>
      </c>
    </row>
    <row r="8" customFormat="false" ht="15" hidden="false" customHeight="true" outlineLevel="0" collapsed="false">
      <c r="A8" s="25" t="n">
        <v>46181</v>
      </c>
      <c r="B8" s="26" t="s">
        <v>138</v>
      </c>
      <c r="C8" s="27" t="s">
        <v>16</v>
      </c>
      <c r="D8" s="26" t="n">
        <v>40</v>
      </c>
      <c r="E8" s="26" t="n">
        <v>6</v>
      </c>
      <c r="F8" s="26" t="n">
        <v>2</v>
      </c>
      <c r="G8" s="27"/>
      <c r="H8" s="28" t="n">
        <f aca="false">IF(AND(ISNUMBER(D8),ISNUMBER(E8)),D8*E8,0)</f>
        <v>240</v>
      </c>
      <c r="I8" s="29" t="n">
        <f aca="false">IF(AND(ISNUMBER(D8),ISNUMBER(E8),E8&gt;0),ROUND(D8*(1+E8/30),1),0)</f>
        <v>48</v>
      </c>
    </row>
    <row r="9" customFormat="false" ht="15" hidden="false" customHeight="true" outlineLevel="0" collapsed="false">
      <c r="A9" s="25" t="n">
        <v>46181</v>
      </c>
      <c r="B9" s="26" t="s">
        <v>138</v>
      </c>
      <c r="C9" s="27" t="s">
        <v>16</v>
      </c>
      <c r="D9" s="26" t="n">
        <v>40</v>
      </c>
      <c r="E9" s="26" t="n">
        <v>6</v>
      </c>
      <c r="F9" s="26" t="n">
        <v>1</v>
      </c>
      <c r="G9" s="27" t="s">
        <v>140</v>
      </c>
      <c r="H9" s="28" t="n">
        <f aca="false">IF(AND(ISNUMBER(D9),ISNUMBER(E9)),D9*E9,0)</f>
        <v>240</v>
      </c>
      <c r="I9" s="29" t="n">
        <f aca="false">IF(AND(ISNUMBER(D9),ISNUMBER(E9),E9&gt;0),ROUND(D9*(1+E9/30),1),0)</f>
        <v>48</v>
      </c>
    </row>
    <row r="10" customFormat="false" ht="15" hidden="false" customHeight="true" outlineLevel="0" collapsed="false">
      <c r="A10" s="25" t="n">
        <v>46181</v>
      </c>
      <c r="B10" s="26" t="s">
        <v>138</v>
      </c>
      <c r="C10" s="27" t="s">
        <v>18</v>
      </c>
      <c r="D10" s="26" t="n">
        <v>15</v>
      </c>
      <c r="E10" s="26" t="n">
        <v>9</v>
      </c>
      <c r="F10" s="26" t="n">
        <v>2</v>
      </c>
      <c r="G10" s="27"/>
      <c r="H10" s="28" t="n">
        <f aca="false">IF(AND(ISNUMBER(D10),ISNUMBER(E10)),D10*E10,0)</f>
        <v>135</v>
      </c>
      <c r="I10" s="29" t="n">
        <f aca="false">IF(AND(ISNUMBER(D10),ISNUMBER(E10),E10&gt;0),ROUND(D10*(1+E10/30),1),0)</f>
        <v>19.5</v>
      </c>
    </row>
    <row r="11" customFormat="false" ht="15" hidden="false" customHeight="true" outlineLevel="0" collapsed="false">
      <c r="A11" s="25" t="n">
        <v>46181</v>
      </c>
      <c r="B11" s="26" t="s">
        <v>138</v>
      </c>
      <c r="C11" s="27" t="s">
        <v>18</v>
      </c>
      <c r="D11" s="26" t="n">
        <v>15</v>
      </c>
      <c r="E11" s="26" t="n">
        <v>8</v>
      </c>
      <c r="F11" s="26" t="n">
        <v>2</v>
      </c>
      <c r="G11" s="27"/>
      <c r="H11" s="28" t="n">
        <f aca="false">IF(AND(ISNUMBER(D11),ISNUMBER(E11)),D11*E11,0)</f>
        <v>120</v>
      </c>
      <c r="I11" s="29" t="n">
        <f aca="false">IF(AND(ISNUMBER(D11),ISNUMBER(E11),E11&gt;0),ROUND(D11*(1+E11/30),1),0)</f>
        <v>19</v>
      </c>
    </row>
    <row r="12" customFormat="false" ht="15" hidden="false" customHeight="true" outlineLevel="0" collapsed="false">
      <c r="A12" s="25" t="n">
        <v>46181</v>
      </c>
      <c r="B12" s="26" t="s">
        <v>138</v>
      </c>
      <c r="C12" s="27" t="s">
        <v>18</v>
      </c>
      <c r="D12" s="26" t="n">
        <v>15</v>
      </c>
      <c r="E12" s="26" t="n">
        <v>8</v>
      </c>
      <c r="F12" s="26" t="n">
        <v>1</v>
      </c>
      <c r="G12" s="27"/>
      <c r="H12" s="28" t="n">
        <f aca="false">IF(AND(ISNUMBER(D12),ISNUMBER(E12)),D12*E12,0)</f>
        <v>120</v>
      </c>
      <c r="I12" s="29" t="n">
        <f aca="false">IF(AND(ISNUMBER(D12),ISNUMBER(E12),E12&gt;0),ROUND(D12*(1+E12/30),1),0)</f>
        <v>19</v>
      </c>
    </row>
    <row r="13" customFormat="false" ht="15" hidden="false" customHeight="true" outlineLevel="0" collapsed="false">
      <c r="A13" s="25" t="n">
        <v>46182</v>
      </c>
      <c r="B13" s="26" t="s">
        <v>141</v>
      </c>
      <c r="C13" s="27" t="s">
        <v>32</v>
      </c>
      <c r="D13" s="26" t="n">
        <v>30</v>
      </c>
      <c r="E13" s="26" t="n">
        <v>8</v>
      </c>
      <c r="F13" s="26" t="n">
        <v>2</v>
      </c>
      <c r="G13" s="27"/>
      <c r="H13" s="28" t="n">
        <f aca="false">IF(AND(ISNUMBER(D13),ISNUMBER(E13)),D13*E13,0)</f>
        <v>240</v>
      </c>
      <c r="I13" s="29" t="n">
        <f aca="false">IF(AND(ISNUMBER(D13),ISNUMBER(E13),E13&gt;0),ROUND(D13*(1+E13/30),1),0)</f>
        <v>38</v>
      </c>
    </row>
    <row r="14" customFormat="false" ht="15" hidden="false" customHeight="true" outlineLevel="0" collapsed="false">
      <c r="A14" s="25" t="n">
        <v>46182</v>
      </c>
      <c r="B14" s="26" t="s">
        <v>141</v>
      </c>
      <c r="C14" s="27" t="s">
        <v>32</v>
      </c>
      <c r="D14" s="26" t="n">
        <v>30</v>
      </c>
      <c r="E14" s="26" t="n">
        <v>8</v>
      </c>
      <c r="F14" s="26" t="n">
        <v>2</v>
      </c>
      <c r="G14" s="27"/>
      <c r="H14" s="28" t="n">
        <f aca="false">IF(AND(ISNUMBER(D14),ISNUMBER(E14)),D14*E14,0)</f>
        <v>240</v>
      </c>
      <c r="I14" s="29" t="n">
        <f aca="false">IF(AND(ISNUMBER(D14),ISNUMBER(E14),E14&gt;0),ROUND(D14*(1+E14/30),1),0)</f>
        <v>38</v>
      </c>
    </row>
    <row r="15" customFormat="false" ht="15" hidden="false" customHeight="true" outlineLevel="0" collapsed="false">
      <c r="A15" s="25" t="n">
        <v>46182</v>
      </c>
      <c r="B15" s="26" t="s">
        <v>141</v>
      </c>
      <c r="C15" s="27" t="s">
        <v>32</v>
      </c>
      <c r="D15" s="26" t="n">
        <v>30</v>
      </c>
      <c r="E15" s="26" t="n">
        <v>7</v>
      </c>
      <c r="F15" s="26" t="n">
        <v>1</v>
      </c>
      <c r="G15" s="27" t="s">
        <v>142</v>
      </c>
      <c r="H15" s="28" t="n">
        <f aca="false">IF(AND(ISNUMBER(D15),ISNUMBER(E15)),D15*E15,0)</f>
        <v>210</v>
      </c>
      <c r="I15" s="29" t="n">
        <f aca="false">IF(AND(ISNUMBER(D15),ISNUMBER(E15),E15&gt;0),ROUND(D15*(1+E15/30),1),0)</f>
        <v>37</v>
      </c>
    </row>
    <row r="16" customFormat="false" ht="15" hidden="false" customHeight="true" outlineLevel="0" collapsed="false">
      <c r="A16" s="25" t="n">
        <v>46182</v>
      </c>
      <c r="B16" s="26" t="s">
        <v>141</v>
      </c>
      <c r="C16" s="27" t="s">
        <v>34</v>
      </c>
      <c r="D16" s="26" t="n">
        <v>60</v>
      </c>
      <c r="E16" s="26" t="n">
        <v>12</v>
      </c>
      <c r="F16" s="26" t="n">
        <v>2</v>
      </c>
      <c r="G16" s="27"/>
      <c r="H16" s="28" t="n">
        <f aca="false">IF(AND(ISNUMBER(D16),ISNUMBER(E16)),D16*E16,0)</f>
        <v>720</v>
      </c>
      <c r="I16" s="29" t="n">
        <f aca="false">IF(AND(ISNUMBER(D16),ISNUMBER(E16),E16&gt;0),ROUND(D16*(1+E16/30),1),0)</f>
        <v>84</v>
      </c>
    </row>
    <row r="17" customFormat="false" ht="15" hidden="false" customHeight="true" outlineLevel="0" collapsed="false">
      <c r="A17" s="25" t="n">
        <v>46182</v>
      </c>
      <c r="B17" s="26" t="s">
        <v>141</v>
      </c>
      <c r="C17" s="27" t="s">
        <v>34</v>
      </c>
      <c r="D17" s="26" t="n">
        <v>60</v>
      </c>
      <c r="E17" s="26" t="n">
        <v>11</v>
      </c>
      <c r="F17" s="26" t="n">
        <v>2</v>
      </c>
      <c r="G17" s="27"/>
      <c r="H17" s="28" t="n">
        <f aca="false">IF(AND(ISNUMBER(D17),ISNUMBER(E17)),D17*E17,0)</f>
        <v>660</v>
      </c>
      <c r="I17" s="29" t="n">
        <f aca="false">IF(AND(ISNUMBER(D17),ISNUMBER(E17),E17&gt;0),ROUND(D17*(1+E17/30),1),0)</f>
        <v>82</v>
      </c>
    </row>
    <row r="18" customFormat="false" ht="15" hidden="false" customHeight="true" outlineLevel="0" collapsed="false">
      <c r="A18" s="25" t="n">
        <v>46182</v>
      </c>
      <c r="B18" s="26" t="s">
        <v>141</v>
      </c>
      <c r="C18" s="27" t="s">
        <v>37</v>
      </c>
      <c r="D18" s="26" t="n">
        <v>30</v>
      </c>
      <c r="E18" s="26" t="n">
        <v>11</v>
      </c>
      <c r="F18" s="26" t="n">
        <v>2</v>
      </c>
      <c r="G18" s="27"/>
      <c r="H18" s="28" t="n">
        <f aca="false">IF(AND(ISNUMBER(D18),ISNUMBER(E18)),D18*E18,0)</f>
        <v>330</v>
      </c>
      <c r="I18" s="29" t="n">
        <f aca="false">IF(AND(ISNUMBER(D18),ISNUMBER(E18),E18&gt;0),ROUND(D18*(1+E18/30),1),0)</f>
        <v>41</v>
      </c>
    </row>
    <row r="19" customFormat="false" ht="15" hidden="false" customHeight="true" outlineLevel="0" collapsed="false">
      <c r="A19" s="25" t="n">
        <v>46182</v>
      </c>
      <c r="B19" s="26" t="s">
        <v>141</v>
      </c>
      <c r="C19" s="27" t="s">
        <v>37</v>
      </c>
      <c r="D19" s="26" t="n">
        <v>30</v>
      </c>
      <c r="E19" s="26" t="n">
        <v>10</v>
      </c>
      <c r="F19" s="26" t="n">
        <v>2</v>
      </c>
      <c r="G19" s="27"/>
      <c r="H19" s="28" t="n">
        <f aca="false">IF(AND(ISNUMBER(D19),ISNUMBER(E19)),D19*E19,0)</f>
        <v>300</v>
      </c>
      <c r="I19" s="29" t="n">
        <f aca="false">IF(AND(ISNUMBER(D19),ISNUMBER(E19),E19&gt;0),ROUND(D19*(1+E19/30),1),0)</f>
        <v>40</v>
      </c>
    </row>
    <row r="20" customFormat="false" ht="15" hidden="false" customHeight="true" outlineLevel="0" collapsed="false">
      <c r="A20" s="25"/>
      <c r="B20" s="26"/>
      <c r="C20" s="27"/>
      <c r="D20" s="26"/>
      <c r="E20" s="26"/>
      <c r="F20" s="26"/>
      <c r="G20" s="27"/>
      <c r="H20" s="28" t="n">
        <f aca="false">IF(AND(ISNUMBER(D20),ISNUMBER(E20)),D20*E20,0)</f>
        <v>0</v>
      </c>
      <c r="I20" s="29" t="n">
        <f aca="false">IF(AND(ISNUMBER(D20),ISNUMBER(E20),E20&gt;0),ROUND(D20*(1+E20/30),1),0)</f>
        <v>0</v>
      </c>
    </row>
    <row r="21" customFormat="false" ht="15" hidden="false" customHeight="true" outlineLevel="0" collapsed="false">
      <c r="A21" s="25"/>
      <c r="B21" s="26"/>
      <c r="C21" s="27"/>
      <c r="D21" s="26"/>
      <c r="E21" s="26"/>
      <c r="F21" s="26"/>
      <c r="G21" s="27"/>
      <c r="H21" s="28" t="n">
        <f aca="false">IF(AND(ISNUMBER(D21),ISNUMBER(E21)),D21*E21,0)</f>
        <v>0</v>
      </c>
      <c r="I21" s="29" t="n">
        <f aca="false">IF(AND(ISNUMBER(D21),ISNUMBER(E21),E21&gt;0),ROUND(D21*(1+E21/30),1),0)</f>
        <v>0</v>
      </c>
    </row>
    <row r="22" customFormat="false" ht="15" hidden="false" customHeight="true" outlineLevel="0" collapsed="false">
      <c r="A22" s="25"/>
      <c r="B22" s="26"/>
      <c r="C22" s="27"/>
      <c r="D22" s="26"/>
      <c r="E22" s="26"/>
      <c r="F22" s="26"/>
      <c r="G22" s="27"/>
      <c r="H22" s="28" t="n">
        <f aca="false">IF(AND(ISNUMBER(D22),ISNUMBER(E22)),D22*E22,0)</f>
        <v>0</v>
      </c>
      <c r="I22" s="29" t="n">
        <f aca="false">IF(AND(ISNUMBER(D22),ISNUMBER(E22),E22&gt;0),ROUND(D22*(1+E22/30),1),0)</f>
        <v>0</v>
      </c>
    </row>
    <row r="23" customFormat="false" ht="15" hidden="false" customHeight="true" outlineLevel="0" collapsed="false">
      <c r="A23" s="25"/>
      <c r="B23" s="26"/>
      <c r="C23" s="27"/>
      <c r="D23" s="26"/>
      <c r="E23" s="26"/>
      <c r="F23" s="26"/>
      <c r="G23" s="27"/>
      <c r="H23" s="28" t="n">
        <f aca="false">IF(AND(ISNUMBER(D23),ISNUMBER(E23)),D23*E23,0)</f>
        <v>0</v>
      </c>
      <c r="I23" s="29" t="n">
        <f aca="false">IF(AND(ISNUMBER(D23),ISNUMBER(E23),E23&gt;0),ROUND(D23*(1+E23/30),1),0)</f>
        <v>0</v>
      </c>
    </row>
    <row r="24" customFormat="false" ht="15" hidden="false" customHeight="true" outlineLevel="0" collapsed="false">
      <c r="A24" s="25"/>
      <c r="B24" s="26"/>
      <c r="C24" s="27"/>
      <c r="D24" s="26"/>
      <c r="E24" s="26"/>
      <c r="F24" s="26"/>
      <c r="G24" s="27"/>
      <c r="H24" s="28" t="n">
        <f aca="false">IF(AND(ISNUMBER(D24),ISNUMBER(E24)),D24*E24,0)</f>
        <v>0</v>
      </c>
      <c r="I24" s="29" t="n">
        <f aca="false">IF(AND(ISNUMBER(D24),ISNUMBER(E24),E24&gt;0),ROUND(D24*(1+E24/30),1),0)</f>
        <v>0</v>
      </c>
    </row>
    <row r="25" customFormat="false" ht="15" hidden="false" customHeight="true" outlineLevel="0" collapsed="false">
      <c r="A25" s="25"/>
      <c r="B25" s="26"/>
      <c r="C25" s="27"/>
      <c r="D25" s="26"/>
      <c r="E25" s="26"/>
      <c r="F25" s="26"/>
      <c r="G25" s="27"/>
      <c r="H25" s="28" t="n">
        <f aca="false">IF(AND(ISNUMBER(D25),ISNUMBER(E25)),D25*E25,0)</f>
        <v>0</v>
      </c>
      <c r="I25" s="29" t="n">
        <f aca="false">IF(AND(ISNUMBER(D25),ISNUMBER(E25),E25&gt;0),ROUND(D25*(1+E25/30),1),0)</f>
        <v>0</v>
      </c>
    </row>
    <row r="26" customFormat="false" ht="15" hidden="false" customHeight="true" outlineLevel="0" collapsed="false">
      <c r="A26" s="25"/>
      <c r="B26" s="26"/>
      <c r="C26" s="27"/>
      <c r="D26" s="26"/>
      <c r="E26" s="26"/>
      <c r="F26" s="26"/>
      <c r="G26" s="27"/>
      <c r="H26" s="28" t="n">
        <f aca="false">IF(AND(ISNUMBER(D26),ISNUMBER(E26)),D26*E26,0)</f>
        <v>0</v>
      </c>
      <c r="I26" s="29" t="n">
        <f aca="false">IF(AND(ISNUMBER(D26),ISNUMBER(E26),E26&gt;0),ROUND(D26*(1+E26/30),1),0)</f>
        <v>0</v>
      </c>
    </row>
    <row r="27" customFormat="false" ht="15" hidden="false" customHeight="true" outlineLevel="0" collapsed="false">
      <c r="A27" s="25"/>
      <c r="B27" s="26"/>
      <c r="C27" s="27"/>
      <c r="D27" s="26"/>
      <c r="E27" s="26"/>
      <c r="F27" s="26"/>
      <c r="G27" s="27"/>
      <c r="H27" s="28" t="n">
        <f aca="false">IF(AND(ISNUMBER(D27),ISNUMBER(E27)),D27*E27,0)</f>
        <v>0</v>
      </c>
      <c r="I27" s="29" t="n">
        <f aca="false">IF(AND(ISNUMBER(D27),ISNUMBER(E27),E27&gt;0),ROUND(D27*(1+E27/30),1),0)</f>
        <v>0</v>
      </c>
    </row>
    <row r="28" customFormat="false" ht="15" hidden="false" customHeight="true" outlineLevel="0" collapsed="false">
      <c r="A28" s="25"/>
      <c r="B28" s="26"/>
      <c r="C28" s="27"/>
      <c r="D28" s="26"/>
      <c r="E28" s="26"/>
      <c r="F28" s="26"/>
      <c r="G28" s="27"/>
      <c r="H28" s="28" t="n">
        <f aca="false">IF(AND(ISNUMBER(D28),ISNUMBER(E28)),D28*E28,0)</f>
        <v>0</v>
      </c>
      <c r="I28" s="29" t="n">
        <f aca="false">IF(AND(ISNUMBER(D28),ISNUMBER(E28),E28&gt;0),ROUND(D28*(1+E28/30),1),0)</f>
        <v>0</v>
      </c>
    </row>
    <row r="29" customFormat="false" ht="15" hidden="false" customHeight="true" outlineLevel="0" collapsed="false">
      <c r="A29" s="25"/>
      <c r="B29" s="26"/>
      <c r="C29" s="27"/>
      <c r="D29" s="26"/>
      <c r="E29" s="26"/>
      <c r="F29" s="26"/>
      <c r="G29" s="27"/>
      <c r="H29" s="28" t="n">
        <f aca="false">IF(AND(ISNUMBER(D29),ISNUMBER(E29)),D29*E29,0)</f>
        <v>0</v>
      </c>
      <c r="I29" s="29" t="n">
        <f aca="false">IF(AND(ISNUMBER(D29),ISNUMBER(E29),E29&gt;0),ROUND(D29*(1+E29/30),1),0)</f>
        <v>0</v>
      </c>
    </row>
    <row r="30" customFormat="false" ht="15" hidden="false" customHeight="true" outlineLevel="0" collapsed="false">
      <c r="A30" s="25"/>
      <c r="B30" s="26"/>
      <c r="C30" s="27"/>
      <c r="D30" s="26"/>
      <c r="E30" s="26"/>
      <c r="F30" s="26"/>
      <c r="G30" s="27"/>
      <c r="H30" s="28" t="n">
        <f aca="false">IF(AND(ISNUMBER(D30),ISNUMBER(E30)),D30*E30,0)</f>
        <v>0</v>
      </c>
      <c r="I30" s="29" t="n">
        <f aca="false">IF(AND(ISNUMBER(D30),ISNUMBER(E30),E30&gt;0),ROUND(D30*(1+E30/30),1),0)</f>
        <v>0</v>
      </c>
    </row>
    <row r="31" customFormat="false" ht="15" hidden="false" customHeight="true" outlineLevel="0" collapsed="false">
      <c r="A31" s="25"/>
      <c r="B31" s="26"/>
      <c r="C31" s="27"/>
      <c r="D31" s="26"/>
      <c r="E31" s="26"/>
      <c r="F31" s="26"/>
      <c r="G31" s="27"/>
      <c r="H31" s="28" t="n">
        <f aca="false">IF(AND(ISNUMBER(D31),ISNUMBER(E31)),D31*E31,0)</f>
        <v>0</v>
      </c>
      <c r="I31" s="29" t="n">
        <f aca="false">IF(AND(ISNUMBER(D31),ISNUMBER(E31),E31&gt;0),ROUND(D31*(1+E31/30),1),0)</f>
        <v>0</v>
      </c>
    </row>
    <row r="32" customFormat="false" ht="15" hidden="false" customHeight="true" outlineLevel="0" collapsed="false">
      <c r="A32" s="25"/>
      <c r="B32" s="26"/>
      <c r="C32" s="27"/>
      <c r="D32" s="26"/>
      <c r="E32" s="26"/>
      <c r="F32" s="26"/>
      <c r="G32" s="27"/>
      <c r="H32" s="28" t="n">
        <f aca="false">IF(AND(ISNUMBER(D32),ISNUMBER(E32)),D32*E32,0)</f>
        <v>0</v>
      </c>
      <c r="I32" s="29" t="n">
        <f aca="false">IF(AND(ISNUMBER(D32),ISNUMBER(E32),E32&gt;0),ROUND(D32*(1+E32/30),1),0)</f>
        <v>0</v>
      </c>
    </row>
    <row r="33" customFormat="false" ht="15" hidden="false" customHeight="true" outlineLevel="0" collapsed="false">
      <c r="A33" s="25"/>
      <c r="B33" s="26"/>
      <c r="C33" s="27"/>
      <c r="D33" s="26"/>
      <c r="E33" s="26"/>
      <c r="F33" s="26"/>
      <c r="G33" s="27"/>
      <c r="H33" s="28" t="n">
        <f aca="false">IF(AND(ISNUMBER(D33),ISNUMBER(E33)),D33*E33,0)</f>
        <v>0</v>
      </c>
      <c r="I33" s="29" t="n">
        <f aca="false">IF(AND(ISNUMBER(D33),ISNUMBER(E33),E33&gt;0),ROUND(D33*(1+E33/30),1),0)</f>
        <v>0</v>
      </c>
    </row>
    <row r="34" customFormat="false" ht="15" hidden="false" customHeight="true" outlineLevel="0" collapsed="false">
      <c r="A34" s="25"/>
      <c r="B34" s="26"/>
      <c r="C34" s="27"/>
      <c r="D34" s="26"/>
      <c r="E34" s="26"/>
      <c r="F34" s="26"/>
      <c r="G34" s="27"/>
      <c r="H34" s="28" t="n">
        <f aca="false">IF(AND(ISNUMBER(D34),ISNUMBER(E34)),D34*E34,0)</f>
        <v>0</v>
      </c>
      <c r="I34" s="29" t="n">
        <f aca="false">IF(AND(ISNUMBER(D34),ISNUMBER(E34),E34&gt;0),ROUND(D34*(1+E34/30),1),0)</f>
        <v>0</v>
      </c>
    </row>
    <row r="35" customFormat="false" ht="15" hidden="false" customHeight="true" outlineLevel="0" collapsed="false">
      <c r="A35" s="25"/>
      <c r="B35" s="26"/>
      <c r="C35" s="27"/>
      <c r="D35" s="26"/>
      <c r="E35" s="26"/>
      <c r="F35" s="26"/>
      <c r="G35" s="27"/>
      <c r="H35" s="28" t="n">
        <f aca="false">IF(AND(ISNUMBER(D35),ISNUMBER(E35)),D35*E35,0)</f>
        <v>0</v>
      </c>
      <c r="I35" s="29" t="n">
        <f aca="false">IF(AND(ISNUMBER(D35),ISNUMBER(E35),E35&gt;0),ROUND(D35*(1+E35/30),1),0)</f>
        <v>0</v>
      </c>
    </row>
    <row r="36" customFormat="false" ht="15" hidden="false" customHeight="true" outlineLevel="0" collapsed="false">
      <c r="A36" s="25"/>
      <c r="B36" s="26"/>
      <c r="C36" s="27"/>
      <c r="D36" s="26"/>
      <c r="E36" s="26"/>
      <c r="F36" s="26"/>
      <c r="G36" s="27"/>
      <c r="H36" s="28" t="n">
        <f aca="false">IF(AND(ISNUMBER(D36),ISNUMBER(E36)),D36*E36,0)</f>
        <v>0</v>
      </c>
      <c r="I36" s="29" t="n">
        <f aca="false">IF(AND(ISNUMBER(D36),ISNUMBER(E36),E36&gt;0),ROUND(D36*(1+E36/30),1),0)</f>
        <v>0</v>
      </c>
    </row>
    <row r="37" customFormat="false" ht="15" hidden="false" customHeight="true" outlineLevel="0" collapsed="false">
      <c r="A37" s="25"/>
      <c r="B37" s="26"/>
      <c r="C37" s="27"/>
      <c r="D37" s="26"/>
      <c r="E37" s="26"/>
      <c r="F37" s="26"/>
      <c r="G37" s="27"/>
      <c r="H37" s="28" t="n">
        <f aca="false">IF(AND(ISNUMBER(D37),ISNUMBER(E37)),D37*E37,0)</f>
        <v>0</v>
      </c>
      <c r="I37" s="29" t="n">
        <f aca="false">IF(AND(ISNUMBER(D37),ISNUMBER(E37),E37&gt;0),ROUND(D37*(1+E37/30),1),0)</f>
        <v>0</v>
      </c>
    </row>
    <row r="38" customFormat="false" ht="15" hidden="false" customHeight="true" outlineLevel="0" collapsed="false">
      <c r="A38" s="25"/>
      <c r="B38" s="26"/>
      <c r="C38" s="27"/>
      <c r="D38" s="26"/>
      <c r="E38" s="26"/>
      <c r="F38" s="26"/>
      <c r="G38" s="27"/>
      <c r="H38" s="28" t="n">
        <f aca="false">IF(AND(ISNUMBER(D38),ISNUMBER(E38)),D38*E38,0)</f>
        <v>0</v>
      </c>
      <c r="I38" s="29" t="n">
        <f aca="false">IF(AND(ISNUMBER(D38),ISNUMBER(E38),E38&gt;0),ROUND(D38*(1+E38/30),1),0)</f>
        <v>0</v>
      </c>
    </row>
    <row r="39" customFormat="false" ht="15" hidden="false" customHeight="true" outlineLevel="0" collapsed="false">
      <c r="A39" s="25"/>
      <c r="B39" s="26"/>
      <c r="C39" s="27"/>
      <c r="D39" s="26"/>
      <c r="E39" s="26"/>
      <c r="F39" s="26"/>
      <c r="G39" s="27"/>
      <c r="H39" s="28" t="n">
        <f aca="false">IF(AND(ISNUMBER(D39),ISNUMBER(E39)),D39*E39,0)</f>
        <v>0</v>
      </c>
      <c r="I39" s="29" t="n">
        <f aca="false">IF(AND(ISNUMBER(D39),ISNUMBER(E39),E39&gt;0),ROUND(D39*(1+E39/30),1),0)</f>
        <v>0</v>
      </c>
    </row>
    <row r="40" customFormat="false" ht="15" hidden="false" customHeight="true" outlineLevel="0" collapsed="false">
      <c r="A40" s="25"/>
      <c r="B40" s="26"/>
      <c r="C40" s="27"/>
      <c r="D40" s="26"/>
      <c r="E40" s="26"/>
      <c r="F40" s="26"/>
      <c r="G40" s="27"/>
      <c r="H40" s="28" t="n">
        <f aca="false">IF(AND(ISNUMBER(D40),ISNUMBER(E40)),D40*E40,0)</f>
        <v>0</v>
      </c>
      <c r="I40" s="29" t="n">
        <f aca="false">IF(AND(ISNUMBER(D40),ISNUMBER(E40),E40&gt;0),ROUND(D40*(1+E40/30),1),0)</f>
        <v>0</v>
      </c>
    </row>
    <row r="41" customFormat="false" ht="15" hidden="false" customHeight="true" outlineLevel="0" collapsed="false">
      <c r="A41" s="25"/>
      <c r="B41" s="26"/>
      <c r="C41" s="27"/>
      <c r="D41" s="26"/>
      <c r="E41" s="26"/>
      <c r="F41" s="26"/>
      <c r="G41" s="27"/>
      <c r="H41" s="28" t="n">
        <f aca="false">IF(AND(ISNUMBER(D41),ISNUMBER(E41)),D41*E41,0)</f>
        <v>0</v>
      </c>
      <c r="I41" s="29" t="n">
        <f aca="false">IF(AND(ISNUMBER(D41),ISNUMBER(E41),E41&gt;0),ROUND(D41*(1+E41/30),1),0)</f>
        <v>0</v>
      </c>
    </row>
    <row r="42" customFormat="false" ht="15" hidden="false" customHeight="true" outlineLevel="0" collapsed="false">
      <c r="A42" s="25"/>
      <c r="B42" s="26"/>
      <c r="C42" s="27"/>
      <c r="D42" s="26"/>
      <c r="E42" s="26"/>
      <c r="F42" s="26"/>
      <c r="G42" s="27"/>
      <c r="H42" s="28" t="n">
        <f aca="false">IF(AND(ISNUMBER(D42),ISNUMBER(E42)),D42*E42,0)</f>
        <v>0</v>
      </c>
      <c r="I42" s="29" t="n">
        <f aca="false">IF(AND(ISNUMBER(D42),ISNUMBER(E42),E42&gt;0),ROUND(D42*(1+E42/30),1),0)</f>
        <v>0</v>
      </c>
    </row>
    <row r="43" customFormat="false" ht="15" hidden="false" customHeight="true" outlineLevel="0" collapsed="false">
      <c r="A43" s="25"/>
      <c r="B43" s="26"/>
      <c r="C43" s="27"/>
      <c r="D43" s="26"/>
      <c r="E43" s="26"/>
      <c r="F43" s="26"/>
      <c r="G43" s="27"/>
      <c r="H43" s="28" t="n">
        <f aca="false">IF(AND(ISNUMBER(D43),ISNUMBER(E43)),D43*E43,0)</f>
        <v>0</v>
      </c>
      <c r="I43" s="29" t="n">
        <f aca="false">IF(AND(ISNUMBER(D43),ISNUMBER(E43),E43&gt;0),ROUND(D43*(1+E43/30),1),0)</f>
        <v>0</v>
      </c>
    </row>
    <row r="44" customFormat="false" ht="15" hidden="false" customHeight="true" outlineLevel="0" collapsed="false">
      <c r="A44" s="25"/>
      <c r="B44" s="26"/>
      <c r="C44" s="27"/>
      <c r="D44" s="26"/>
      <c r="E44" s="26"/>
      <c r="F44" s="26"/>
      <c r="G44" s="27"/>
      <c r="H44" s="28" t="n">
        <f aca="false">IF(AND(ISNUMBER(D44),ISNUMBER(E44)),D44*E44,0)</f>
        <v>0</v>
      </c>
      <c r="I44" s="29" t="n">
        <f aca="false">IF(AND(ISNUMBER(D44),ISNUMBER(E44),E44&gt;0),ROUND(D44*(1+E44/30),1),0)</f>
        <v>0</v>
      </c>
    </row>
    <row r="45" customFormat="false" ht="15" hidden="false" customHeight="true" outlineLevel="0" collapsed="false">
      <c r="A45" s="25"/>
      <c r="B45" s="26"/>
      <c r="C45" s="27"/>
      <c r="D45" s="26"/>
      <c r="E45" s="26"/>
      <c r="F45" s="26"/>
      <c r="G45" s="27"/>
      <c r="H45" s="28" t="n">
        <f aca="false">IF(AND(ISNUMBER(D45),ISNUMBER(E45)),D45*E45,0)</f>
        <v>0</v>
      </c>
      <c r="I45" s="29" t="n">
        <f aca="false">IF(AND(ISNUMBER(D45),ISNUMBER(E45),E45&gt;0),ROUND(D45*(1+E45/30),1),0)</f>
        <v>0</v>
      </c>
    </row>
    <row r="46" customFormat="false" ht="15" hidden="false" customHeight="true" outlineLevel="0" collapsed="false">
      <c r="A46" s="25"/>
      <c r="B46" s="26"/>
      <c r="C46" s="27"/>
      <c r="D46" s="26"/>
      <c r="E46" s="26"/>
      <c r="F46" s="26"/>
      <c r="G46" s="27"/>
      <c r="H46" s="28" t="n">
        <f aca="false">IF(AND(ISNUMBER(D46),ISNUMBER(E46)),D46*E46,0)</f>
        <v>0</v>
      </c>
      <c r="I46" s="29" t="n">
        <f aca="false">IF(AND(ISNUMBER(D46),ISNUMBER(E46),E46&gt;0),ROUND(D46*(1+E46/30),1),0)</f>
        <v>0</v>
      </c>
    </row>
    <row r="47" customFormat="false" ht="15" hidden="false" customHeight="true" outlineLevel="0" collapsed="false">
      <c r="A47" s="25"/>
      <c r="B47" s="26"/>
      <c r="C47" s="27"/>
      <c r="D47" s="26"/>
      <c r="E47" s="26"/>
      <c r="F47" s="26"/>
      <c r="G47" s="27"/>
      <c r="H47" s="28" t="n">
        <f aca="false">IF(AND(ISNUMBER(D47),ISNUMBER(E47)),D47*E47,0)</f>
        <v>0</v>
      </c>
      <c r="I47" s="29" t="n">
        <f aca="false">IF(AND(ISNUMBER(D47),ISNUMBER(E47),E47&gt;0),ROUND(D47*(1+E47/30),1),0)</f>
        <v>0</v>
      </c>
    </row>
    <row r="48" customFormat="false" ht="15" hidden="false" customHeight="true" outlineLevel="0" collapsed="false">
      <c r="A48" s="25"/>
      <c r="B48" s="26"/>
      <c r="C48" s="27"/>
      <c r="D48" s="26"/>
      <c r="E48" s="26"/>
      <c r="F48" s="26"/>
      <c r="G48" s="27"/>
      <c r="H48" s="28" t="n">
        <f aca="false">IF(AND(ISNUMBER(D48),ISNUMBER(E48)),D48*E48,0)</f>
        <v>0</v>
      </c>
      <c r="I48" s="29" t="n">
        <f aca="false">IF(AND(ISNUMBER(D48),ISNUMBER(E48),E48&gt;0),ROUND(D48*(1+E48/30),1),0)</f>
        <v>0</v>
      </c>
    </row>
    <row r="49" customFormat="false" ht="15" hidden="false" customHeight="true" outlineLevel="0" collapsed="false">
      <c r="A49" s="25"/>
      <c r="B49" s="26"/>
      <c r="C49" s="27"/>
      <c r="D49" s="26"/>
      <c r="E49" s="26"/>
      <c r="F49" s="26"/>
      <c r="G49" s="27"/>
      <c r="H49" s="28" t="n">
        <f aca="false">IF(AND(ISNUMBER(D49),ISNUMBER(E49)),D49*E49,0)</f>
        <v>0</v>
      </c>
      <c r="I49" s="29" t="n">
        <f aca="false">IF(AND(ISNUMBER(D49),ISNUMBER(E49),E49&gt;0),ROUND(D49*(1+E49/30),1),0)</f>
        <v>0</v>
      </c>
    </row>
    <row r="50" customFormat="false" ht="15" hidden="false" customHeight="true" outlineLevel="0" collapsed="false">
      <c r="A50" s="25"/>
      <c r="B50" s="26"/>
      <c r="C50" s="27"/>
      <c r="D50" s="26"/>
      <c r="E50" s="26"/>
      <c r="F50" s="26"/>
      <c r="G50" s="27"/>
      <c r="H50" s="28" t="n">
        <f aca="false">IF(AND(ISNUMBER(D50),ISNUMBER(E50)),D50*E50,0)</f>
        <v>0</v>
      </c>
      <c r="I50" s="29" t="n">
        <f aca="false">IF(AND(ISNUMBER(D50),ISNUMBER(E50),E50&gt;0),ROUND(D50*(1+E50/30),1),0)</f>
        <v>0</v>
      </c>
    </row>
    <row r="51" customFormat="false" ht="15" hidden="false" customHeight="true" outlineLevel="0" collapsed="false">
      <c r="A51" s="25"/>
      <c r="B51" s="26"/>
      <c r="C51" s="27"/>
      <c r="D51" s="26"/>
      <c r="E51" s="26"/>
      <c r="F51" s="26"/>
      <c r="G51" s="27"/>
      <c r="H51" s="28" t="n">
        <f aca="false">IF(AND(ISNUMBER(D51),ISNUMBER(E51)),D51*E51,0)</f>
        <v>0</v>
      </c>
      <c r="I51" s="29" t="n">
        <f aca="false">IF(AND(ISNUMBER(D51),ISNUMBER(E51),E51&gt;0),ROUND(D51*(1+E51/30),1),0)</f>
        <v>0</v>
      </c>
    </row>
    <row r="52" customFormat="false" ht="15" hidden="false" customHeight="true" outlineLevel="0" collapsed="false">
      <c r="A52" s="25"/>
      <c r="B52" s="26"/>
      <c r="C52" s="27"/>
      <c r="D52" s="26"/>
      <c r="E52" s="26"/>
      <c r="F52" s="26"/>
      <c r="G52" s="27"/>
      <c r="H52" s="28" t="n">
        <f aca="false">IF(AND(ISNUMBER(D52),ISNUMBER(E52)),D52*E52,0)</f>
        <v>0</v>
      </c>
      <c r="I52" s="29" t="n">
        <f aca="false">IF(AND(ISNUMBER(D52),ISNUMBER(E52),E52&gt;0),ROUND(D52*(1+E52/30),1),0)</f>
        <v>0</v>
      </c>
    </row>
    <row r="53" customFormat="false" ht="15" hidden="false" customHeight="true" outlineLevel="0" collapsed="false">
      <c r="A53" s="25"/>
      <c r="B53" s="26"/>
      <c r="C53" s="27"/>
      <c r="D53" s="26"/>
      <c r="E53" s="26"/>
      <c r="F53" s="26"/>
      <c r="G53" s="27"/>
      <c r="H53" s="28" t="n">
        <f aca="false">IF(AND(ISNUMBER(D53),ISNUMBER(E53)),D53*E53,0)</f>
        <v>0</v>
      </c>
      <c r="I53" s="29" t="n">
        <f aca="false">IF(AND(ISNUMBER(D53),ISNUMBER(E53),E53&gt;0),ROUND(D53*(1+E53/30),1),0)</f>
        <v>0</v>
      </c>
    </row>
    <row r="54" customFormat="false" ht="15" hidden="false" customHeight="true" outlineLevel="0" collapsed="false">
      <c r="A54" s="25"/>
      <c r="B54" s="26"/>
      <c r="C54" s="27"/>
      <c r="D54" s="26"/>
      <c r="E54" s="26"/>
      <c r="F54" s="26"/>
      <c r="G54" s="27"/>
      <c r="H54" s="28" t="n">
        <f aca="false">IF(AND(ISNUMBER(D54),ISNUMBER(E54)),D54*E54,0)</f>
        <v>0</v>
      </c>
      <c r="I54" s="29" t="n">
        <f aca="false">IF(AND(ISNUMBER(D54),ISNUMBER(E54),E54&gt;0),ROUND(D54*(1+E54/30),1),0)</f>
        <v>0</v>
      </c>
    </row>
    <row r="55" customFormat="false" ht="15" hidden="false" customHeight="true" outlineLevel="0" collapsed="false">
      <c r="A55" s="25"/>
      <c r="B55" s="26"/>
      <c r="C55" s="27"/>
      <c r="D55" s="26"/>
      <c r="E55" s="26"/>
      <c r="F55" s="26"/>
      <c r="G55" s="27"/>
      <c r="H55" s="28" t="n">
        <f aca="false">IF(AND(ISNUMBER(D55),ISNUMBER(E55)),D55*E55,0)</f>
        <v>0</v>
      </c>
      <c r="I55" s="29" t="n">
        <f aca="false">IF(AND(ISNUMBER(D55),ISNUMBER(E55),E55&gt;0),ROUND(D55*(1+E55/30),1),0)</f>
        <v>0</v>
      </c>
    </row>
    <row r="56" customFormat="false" ht="15" hidden="false" customHeight="true" outlineLevel="0" collapsed="false">
      <c r="A56" s="25"/>
      <c r="B56" s="26"/>
      <c r="C56" s="27"/>
      <c r="D56" s="26"/>
      <c r="E56" s="26"/>
      <c r="F56" s="26"/>
      <c r="G56" s="27"/>
      <c r="H56" s="28" t="n">
        <f aca="false">IF(AND(ISNUMBER(D56),ISNUMBER(E56)),D56*E56,0)</f>
        <v>0</v>
      </c>
      <c r="I56" s="29" t="n">
        <f aca="false">IF(AND(ISNUMBER(D56),ISNUMBER(E56),E56&gt;0),ROUND(D56*(1+E56/30),1),0)</f>
        <v>0</v>
      </c>
    </row>
    <row r="57" customFormat="false" ht="15" hidden="false" customHeight="true" outlineLevel="0" collapsed="false">
      <c r="A57" s="25"/>
      <c r="B57" s="26"/>
      <c r="C57" s="27"/>
      <c r="D57" s="26"/>
      <c r="E57" s="26"/>
      <c r="F57" s="26"/>
      <c r="G57" s="27"/>
      <c r="H57" s="28" t="n">
        <f aca="false">IF(AND(ISNUMBER(D57),ISNUMBER(E57)),D57*E57,0)</f>
        <v>0</v>
      </c>
      <c r="I57" s="29" t="n">
        <f aca="false">IF(AND(ISNUMBER(D57),ISNUMBER(E57),E57&gt;0),ROUND(D57*(1+E57/30),1),0)</f>
        <v>0</v>
      </c>
    </row>
    <row r="58" customFormat="false" ht="15" hidden="false" customHeight="true" outlineLevel="0" collapsed="false">
      <c r="A58" s="25"/>
      <c r="B58" s="26"/>
      <c r="C58" s="27"/>
      <c r="D58" s="26"/>
      <c r="E58" s="26"/>
      <c r="F58" s="26"/>
      <c r="G58" s="27"/>
      <c r="H58" s="28" t="n">
        <f aca="false">IF(AND(ISNUMBER(D58),ISNUMBER(E58)),D58*E58,0)</f>
        <v>0</v>
      </c>
      <c r="I58" s="29" t="n">
        <f aca="false">IF(AND(ISNUMBER(D58),ISNUMBER(E58),E58&gt;0),ROUND(D58*(1+E58/30),1),0)</f>
        <v>0</v>
      </c>
    </row>
    <row r="59" customFormat="false" ht="15" hidden="false" customHeight="true" outlineLevel="0" collapsed="false">
      <c r="A59" s="25"/>
      <c r="B59" s="26"/>
      <c r="C59" s="27"/>
      <c r="D59" s="26"/>
      <c r="E59" s="26"/>
      <c r="F59" s="26"/>
      <c r="G59" s="27"/>
      <c r="H59" s="28" t="n">
        <f aca="false">IF(AND(ISNUMBER(D59),ISNUMBER(E59)),D59*E59,0)</f>
        <v>0</v>
      </c>
      <c r="I59" s="29" t="n">
        <f aca="false">IF(AND(ISNUMBER(D59),ISNUMBER(E59),E59&gt;0),ROUND(D59*(1+E59/30),1),0)</f>
        <v>0</v>
      </c>
    </row>
    <row r="60" customFormat="false" ht="15" hidden="false" customHeight="true" outlineLevel="0" collapsed="false">
      <c r="A60" s="25"/>
      <c r="B60" s="26"/>
      <c r="C60" s="27"/>
      <c r="D60" s="26"/>
      <c r="E60" s="26"/>
      <c r="F60" s="26"/>
      <c r="G60" s="27"/>
      <c r="H60" s="28" t="n">
        <f aca="false">IF(AND(ISNUMBER(D60),ISNUMBER(E60)),D60*E60,0)</f>
        <v>0</v>
      </c>
      <c r="I60" s="29" t="n">
        <f aca="false">IF(AND(ISNUMBER(D60),ISNUMBER(E60),E60&gt;0),ROUND(D60*(1+E60/30),1),0)</f>
        <v>0</v>
      </c>
    </row>
    <row r="61" customFormat="false" ht="15" hidden="false" customHeight="true" outlineLevel="0" collapsed="false">
      <c r="A61" s="25"/>
      <c r="B61" s="26"/>
      <c r="C61" s="27"/>
      <c r="D61" s="26"/>
      <c r="E61" s="26"/>
      <c r="F61" s="26"/>
      <c r="G61" s="27"/>
      <c r="H61" s="28" t="n">
        <f aca="false">IF(AND(ISNUMBER(D61),ISNUMBER(E61)),D61*E61,0)</f>
        <v>0</v>
      </c>
      <c r="I61" s="29" t="n">
        <f aca="false">IF(AND(ISNUMBER(D61),ISNUMBER(E61),E61&gt;0),ROUND(D61*(1+E61/30),1),0)</f>
        <v>0</v>
      </c>
    </row>
    <row r="62" customFormat="false" ht="15" hidden="false" customHeight="true" outlineLevel="0" collapsed="false">
      <c r="A62" s="25"/>
      <c r="B62" s="26"/>
      <c r="C62" s="27"/>
      <c r="D62" s="26"/>
      <c r="E62" s="26"/>
      <c r="F62" s="26"/>
      <c r="G62" s="27"/>
      <c r="H62" s="28" t="n">
        <f aca="false">IF(AND(ISNUMBER(D62),ISNUMBER(E62)),D62*E62,0)</f>
        <v>0</v>
      </c>
      <c r="I62" s="29" t="n">
        <f aca="false">IF(AND(ISNUMBER(D62),ISNUMBER(E62),E62&gt;0),ROUND(D62*(1+E62/30),1),0)</f>
        <v>0</v>
      </c>
    </row>
    <row r="63" customFormat="false" ht="15" hidden="false" customHeight="true" outlineLevel="0" collapsed="false">
      <c r="A63" s="25"/>
      <c r="B63" s="26"/>
      <c r="C63" s="27"/>
      <c r="D63" s="26"/>
      <c r="E63" s="26"/>
      <c r="F63" s="26"/>
      <c r="G63" s="27"/>
      <c r="H63" s="28" t="n">
        <f aca="false">IF(AND(ISNUMBER(D63),ISNUMBER(E63)),D63*E63,0)</f>
        <v>0</v>
      </c>
      <c r="I63" s="29" t="n">
        <f aca="false">IF(AND(ISNUMBER(D63),ISNUMBER(E63),E63&gt;0),ROUND(D63*(1+E63/30),1),0)</f>
        <v>0</v>
      </c>
    </row>
    <row r="64" customFormat="false" ht="15" hidden="false" customHeight="true" outlineLevel="0" collapsed="false">
      <c r="A64" s="25"/>
      <c r="B64" s="26"/>
      <c r="C64" s="27"/>
      <c r="D64" s="26"/>
      <c r="E64" s="26"/>
      <c r="F64" s="26"/>
      <c r="G64" s="27"/>
      <c r="H64" s="28" t="n">
        <f aca="false">IF(AND(ISNUMBER(D64),ISNUMBER(E64)),D64*E64,0)</f>
        <v>0</v>
      </c>
      <c r="I64" s="29" t="n">
        <f aca="false">IF(AND(ISNUMBER(D64),ISNUMBER(E64),E64&gt;0),ROUND(D64*(1+E64/30),1),0)</f>
        <v>0</v>
      </c>
    </row>
    <row r="65" customFormat="false" ht="15" hidden="false" customHeight="true" outlineLevel="0" collapsed="false">
      <c r="A65" s="25"/>
      <c r="B65" s="26"/>
      <c r="C65" s="27"/>
      <c r="D65" s="26"/>
      <c r="E65" s="26"/>
      <c r="F65" s="26"/>
      <c r="G65" s="27"/>
      <c r="H65" s="28" t="n">
        <f aca="false">IF(AND(ISNUMBER(D65),ISNUMBER(E65)),D65*E65,0)</f>
        <v>0</v>
      </c>
      <c r="I65" s="29" t="n">
        <f aca="false">IF(AND(ISNUMBER(D65),ISNUMBER(E65),E65&gt;0),ROUND(D65*(1+E65/30),1),0)</f>
        <v>0</v>
      </c>
    </row>
    <row r="66" customFormat="false" ht="15" hidden="false" customHeight="true" outlineLevel="0" collapsed="false">
      <c r="A66" s="25"/>
      <c r="B66" s="26"/>
      <c r="C66" s="27"/>
      <c r="D66" s="26"/>
      <c r="E66" s="26"/>
      <c r="F66" s="26"/>
      <c r="G66" s="27"/>
      <c r="H66" s="28" t="n">
        <f aca="false">IF(AND(ISNUMBER(D66),ISNUMBER(E66)),D66*E66,0)</f>
        <v>0</v>
      </c>
      <c r="I66" s="29" t="n">
        <f aca="false">IF(AND(ISNUMBER(D66),ISNUMBER(E66),E66&gt;0),ROUND(D66*(1+E66/30),1),0)</f>
        <v>0</v>
      </c>
    </row>
    <row r="67" customFormat="false" ht="15" hidden="false" customHeight="true" outlineLevel="0" collapsed="false">
      <c r="A67" s="25"/>
      <c r="B67" s="26"/>
      <c r="C67" s="27"/>
      <c r="D67" s="26"/>
      <c r="E67" s="26"/>
      <c r="F67" s="26"/>
      <c r="G67" s="27"/>
      <c r="H67" s="28" t="n">
        <f aca="false">IF(AND(ISNUMBER(D67),ISNUMBER(E67)),D67*E67,0)</f>
        <v>0</v>
      </c>
      <c r="I67" s="29" t="n">
        <f aca="false">IF(AND(ISNUMBER(D67),ISNUMBER(E67),E67&gt;0),ROUND(D67*(1+E67/30),1),0)</f>
        <v>0</v>
      </c>
    </row>
    <row r="68" customFormat="false" ht="15" hidden="false" customHeight="true" outlineLevel="0" collapsed="false">
      <c r="A68" s="25"/>
      <c r="B68" s="26"/>
      <c r="C68" s="27"/>
      <c r="D68" s="26"/>
      <c r="E68" s="26"/>
      <c r="F68" s="26"/>
      <c r="G68" s="27"/>
      <c r="H68" s="28" t="n">
        <f aca="false">IF(AND(ISNUMBER(D68),ISNUMBER(E68)),D68*E68,0)</f>
        <v>0</v>
      </c>
      <c r="I68" s="29" t="n">
        <f aca="false">IF(AND(ISNUMBER(D68),ISNUMBER(E68),E68&gt;0),ROUND(D68*(1+E68/30),1),0)</f>
        <v>0</v>
      </c>
    </row>
    <row r="69" customFormat="false" ht="15" hidden="false" customHeight="true" outlineLevel="0" collapsed="false">
      <c r="A69" s="25"/>
      <c r="B69" s="26"/>
      <c r="C69" s="27"/>
      <c r="D69" s="26"/>
      <c r="E69" s="26"/>
      <c r="F69" s="26"/>
      <c r="G69" s="27"/>
      <c r="H69" s="28" t="n">
        <f aca="false">IF(AND(ISNUMBER(D69),ISNUMBER(E69)),D69*E69,0)</f>
        <v>0</v>
      </c>
      <c r="I69" s="29" t="n">
        <f aca="false">IF(AND(ISNUMBER(D69),ISNUMBER(E69),E69&gt;0),ROUND(D69*(1+E69/30),1),0)</f>
        <v>0</v>
      </c>
    </row>
    <row r="70" customFormat="false" ht="15" hidden="false" customHeight="true" outlineLevel="0" collapsed="false">
      <c r="A70" s="25"/>
      <c r="B70" s="26"/>
      <c r="C70" s="27"/>
      <c r="D70" s="26"/>
      <c r="E70" s="26"/>
      <c r="F70" s="26"/>
      <c r="G70" s="27"/>
      <c r="H70" s="28" t="n">
        <f aca="false">IF(AND(ISNUMBER(D70),ISNUMBER(E70)),D70*E70,0)</f>
        <v>0</v>
      </c>
      <c r="I70" s="29" t="n">
        <f aca="false">IF(AND(ISNUMBER(D70),ISNUMBER(E70),E70&gt;0),ROUND(D70*(1+E70/30),1),0)</f>
        <v>0</v>
      </c>
    </row>
    <row r="71" customFormat="false" ht="15" hidden="false" customHeight="true" outlineLevel="0" collapsed="false">
      <c r="A71" s="25"/>
      <c r="B71" s="26"/>
      <c r="C71" s="27"/>
      <c r="D71" s="26"/>
      <c r="E71" s="26"/>
      <c r="F71" s="26"/>
      <c r="G71" s="27"/>
      <c r="H71" s="28" t="n">
        <f aca="false">IF(AND(ISNUMBER(D71),ISNUMBER(E71)),D71*E71,0)</f>
        <v>0</v>
      </c>
      <c r="I71" s="29" t="n">
        <f aca="false">IF(AND(ISNUMBER(D71),ISNUMBER(E71),E71&gt;0),ROUND(D71*(1+E71/30),1),0)</f>
        <v>0</v>
      </c>
    </row>
    <row r="72" customFormat="false" ht="15" hidden="false" customHeight="true" outlineLevel="0" collapsed="false">
      <c r="A72" s="25"/>
      <c r="B72" s="26"/>
      <c r="C72" s="27"/>
      <c r="D72" s="26"/>
      <c r="E72" s="26"/>
      <c r="F72" s="26"/>
      <c r="G72" s="27"/>
      <c r="H72" s="28" t="n">
        <f aca="false">IF(AND(ISNUMBER(D72),ISNUMBER(E72)),D72*E72,0)</f>
        <v>0</v>
      </c>
      <c r="I72" s="29" t="n">
        <f aca="false">IF(AND(ISNUMBER(D72),ISNUMBER(E72),E72&gt;0),ROUND(D72*(1+E72/30),1),0)</f>
        <v>0</v>
      </c>
    </row>
    <row r="73" customFormat="false" ht="15" hidden="false" customHeight="true" outlineLevel="0" collapsed="false">
      <c r="A73" s="25"/>
      <c r="B73" s="26"/>
      <c r="C73" s="27"/>
      <c r="D73" s="26"/>
      <c r="E73" s="26"/>
      <c r="F73" s="26"/>
      <c r="G73" s="27"/>
      <c r="H73" s="28" t="n">
        <f aca="false">IF(AND(ISNUMBER(D73),ISNUMBER(E73)),D73*E73,0)</f>
        <v>0</v>
      </c>
      <c r="I73" s="29" t="n">
        <f aca="false">IF(AND(ISNUMBER(D73),ISNUMBER(E73),E73&gt;0),ROUND(D73*(1+E73/30),1),0)</f>
        <v>0</v>
      </c>
    </row>
    <row r="74" customFormat="false" ht="15" hidden="false" customHeight="true" outlineLevel="0" collapsed="false">
      <c r="A74" s="25"/>
      <c r="B74" s="26"/>
      <c r="C74" s="27"/>
      <c r="D74" s="26"/>
      <c r="E74" s="26"/>
      <c r="F74" s="26"/>
      <c r="G74" s="27"/>
      <c r="H74" s="28" t="n">
        <f aca="false">IF(AND(ISNUMBER(D74),ISNUMBER(E74)),D74*E74,0)</f>
        <v>0</v>
      </c>
      <c r="I74" s="29" t="n">
        <f aca="false">IF(AND(ISNUMBER(D74),ISNUMBER(E74),E74&gt;0),ROUND(D74*(1+E74/30),1),0)</f>
        <v>0</v>
      </c>
    </row>
    <row r="75" customFormat="false" ht="15" hidden="false" customHeight="true" outlineLevel="0" collapsed="false">
      <c r="A75" s="25"/>
      <c r="B75" s="26"/>
      <c r="C75" s="27"/>
      <c r="D75" s="26"/>
      <c r="E75" s="26"/>
      <c r="F75" s="26"/>
      <c r="G75" s="27"/>
      <c r="H75" s="28" t="n">
        <f aca="false">IF(AND(ISNUMBER(D75),ISNUMBER(E75)),D75*E75,0)</f>
        <v>0</v>
      </c>
      <c r="I75" s="29" t="n">
        <f aca="false">IF(AND(ISNUMBER(D75),ISNUMBER(E75),E75&gt;0),ROUND(D75*(1+E75/30),1),0)</f>
        <v>0</v>
      </c>
    </row>
    <row r="76" customFormat="false" ht="15" hidden="false" customHeight="true" outlineLevel="0" collapsed="false">
      <c r="A76" s="25"/>
      <c r="B76" s="26"/>
      <c r="C76" s="27"/>
      <c r="D76" s="26"/>
      <c r="E76" s="26"/>
      <c r="F76" s="26"/>
      <c r="G76" s="27"/>
      <c r="H76" s="28" t="n">
        <f aca="false">IF(AND(ISNUMBER(D76),ISNUMBER(E76)),D76*E76,0)</f>
        <v>0</v>
      </c>
      <c r="I76" s="29" t="n">
        <f aca="false">IF(AND(ISNUMBER(D76),ISNUMBER(E76),E76&gt;0),ROUND(D76*(1+E76/30),1),0)</f>
        <v>0</v>
      </c>
    </row>
    <row r="77" customFormat="false" ht="15" hidden="false" customHeight="true" outlineLevel="0" collapsed="false">
      <c r="A77" s="25"/>
      <c r="B77" s="26"/>
      <c r="C77" s="27"/>
      <c r="D77" s="26"/>
      <c r="E77" s="26"/>
      <c r="F77" s="26"/>
      <c r="G77" s="27"/>
      <c r="H77" s="28" t="n">
        <f aca="false">IF(AND(ISNUMBER(D77),ISNUMBER(E77)),D77*E77,0)</f>
        <v>0</v>
      </c>
      <c r="I77" s="29" t="n">
        <f aca="false">IF(AND(ISNUMBER(D77),ISNUMBER(E77),E77&gt;0),ROUND(D77*(1+E77/30),1),0)</f>
        <v>0</v>
      </c>
    </row>
    <row r="78" customFormat="false" ht="15" hidden="false" customHeight="true" outlineLevel="0" collapsed="false">
      <c r="A78" s="25"/>
      <c r="B78" s="26"/>
      <c r="C78" s="27"/>
      <c r="D78" s="26"/>
      <c r="E78" s="26"/>
      <c r="F78" s="26"/>
      <c r="G78" s="27"/>
      <c r="H78" s="28" t="n">
        <f aca="false">IF(AND(ISNUMBER(D78),ISNUMBER(E78)),D78*E78,0)</f>
        <v>0</v>
      </c>
      <c r="I78" s="29" t="n">
        <f aca="false">IF(AND(ISNUMBER(D78),ISNUMBER(E78),E78&gt;0),ROUND(D78*(1+E78/30),1),0)</f>
        <v>0</v>
      </c>
    </row>
    <row r="79" customFormat="false" ht="15" hidden="false" customHeight="true" outlineLevel="0" collapsed="false">
      <c r="A79" s="25"/>
      <c r="B79" s="26"/>
      <c r="C79" s="27"/>
      <c r="D79" s="26"/>
      <c r="E79" s="26"/>
      <c r="F79" s="26"/>
      <c r="G79" s="27"/>
      <c r="H79" s="28" t="n">
        <f aca="false">IF(AND(ISNUMBER(D79),ISNUMBER(E79)),D79*E79,0)</f>
        <v>0</v>
      </c>
      <c r="I79" s="29" t="n">
        <f aca="false">IF(AND(ISNUMBER(D79),ISNUMBER(E79),E79&gt;0),ROUND(D79*(1+E79/30),1),0)</f>
        <v>0</v>
      </c>
    </row>
    <row r="80" customFormat="false" ht="15" hidden="false" customHeight="true" outlineLevel="0" collapsed="false">
      <c r="A80" s="25"/>
      <c r="B80" s="26"/>
      <c r="C80" s="27"/>
      <c r="D80" s="26"/>
      <c r="E80" s="26"/>
      <c r="F80" s="26"/>
      <c r="G80" s="27"/>
      <c r="H80" s="28" t="n">
        <f aca="false">IF(AND(ISNUMBER(D80),ISNUMBER(E80)),D80*E80,0)</f>
        <v>0</v>
      </c>
      <c r="I80" s="29" t="n">
        <f aca="false">IF(AND(ISNUMBER(D80),ISNUMBER(E80),E80&gt;0),ROUND(D80*(1+E80/30),1),0)</f>
        <v>0</v>
      </c>
    </row>
    <row r="81" customFormat="false" ht="15" hidden="false" customHeight="true" outlineLevel="0" collapsed="false">
      <c r="A81" s="25"/>
      <c r="B81" s="26"/>
      <c r="C81" s="27"/>
      <c r="D81" s="26"/>
      <c r="E81" s="26"/>
      <c r="F81" s="26"/>
      <c r="G81" s="27"/>
      <c r="H81" s="28" t="n">
        <f aca="false">IF(AND(ISNUMBER(D81),ISNUMBER(E81)),D81*E81,0)</f>
        <v>0</v>
      </c>
      <c r="I81" s="29" t="n">
        <f aca="false">IF(AND(ISNUMBER(D81),ISNUMBER(E81),E81&gt;0),ROUND(D81*(1+E81/30),1),0)</f>
        <v>0</v>
      </c>
    </row>
    <row r="82" customFormat="false" ht="15" hidden="false" customHeight="true" outlineLevel="0" collapsed="false">
      <c r="A82" s="25"/>
      <c r="B82" s="26"/>
      <c r="C82" s="27"/>
      <c r="D82" s="26"/>
      <c r="E82" s="26"/>
      <c r="F82" s="26"/>
      <c r="G82" s="27"/>
      <c r="H82" s="28" t="n">
        <f aca="false">IF(AND(ISNUMBER(D82),ISNUMBER(E82)),D82*E82,0)</f>
        <v>0</v>
      </c>
      <c r="I82" s="29" t="n">
        <f aca="false">IF(AND(ISNUMBER(D82),ISNUMBER(E82),E82&gt;0),ROUND(D82*(1+E82/30),1),0)</f>
        <v>0</v>
      </c>
    </row>
    <row r="83" customFormat="false" ht="15" hidden="false" customHeight="true" outlineLevel="0" collapsed="false">
      <c r="A83" s="25"/>
      <c r="B83" s="26"/>
      <c r="C83" s="27"/>
      <c r="D83" s="26"/>
      <c r="E83" s="26"/>
      <c r="F83" s="26"/>
      <c r="G83" s="27"/>
      <c r="H83" s="28" t="n">
        <f aca="false">IF(AND(ISNUMBER(D83),ISNUMBER(E83)),D83*E83,0)</f>
        <v>0</v>
      </c>
      <c r="I83" s="29" t="n">
        <f aca="false">IF(AND(ISNUMBER(D83),ISNUMBER(E83),E83&gt;0),ROUND(D83*(1+E83/30),1),0)</f>
        <v>0</v>
      </c>
    </row>
    <row r="84" customFormat="false" ht="15" hidden="false" customHeight="true" outlineLevel="0" collapsed="false">
      <c r="A84" s="25"/>
      <c r="B84" s="26"/>
      <c r="C84" s="27"/>
      <c r="D84" s="26"/>
      <c r="E84" s="26"/>
      <c r="F84" s="26"/>
      <c r="G84" s="27"/>
      <c r="H84" s="28" t="n">
        <f aca="false">IF(AND(ISNUMBER(D84),ISNUMBER(E84)),D84*E84,0)</f>
        <v>0</v>
      </c>
      <c r="I84" s="29" t="n">
        <f aca="false">IF(AND(ISNUMBER(D84),ISNUMBER(E84),E84&gt;0),ROUND(D84*(1+E84/30),1),0)</f>
        <v>0</v>
      </c>
    </row>
    <row r="85" customFormat="false" ht="15" hidden="false" customHeight="true" outlineLevel="0" collapsed="false">
      <c r="A85" s="25"/>
      <c r="B85" s="26"/>
      <c r="C85" s="27"/>
      <c r="D85" s="26"/>
      <c r="E85" s="26"/>
      <c r="F85" s="26"/>
      <c r="G85" s="27"/>
      <c r="H85" s="28" t="n">
        <f aca="false">IF(AND(ISNUMBER(D85),ISNUMBER(E85)),D85*E85,0)</f>
        <v>0</v>
      </c>
      <c r="I85" s="29" t="n">
        <f aca="false">IF(AND(ISNUMBER(D85),ISNUMBER(E85),E85&gt;0),ROUND(D85*(1+E85/30),1),0)</f>
        <v>0</v>
      </c>
    </row>
    <row r="86" customFormat="false" ht="15" hidden="false" customHeight="true" outlineLevel="0" collapsed="false">
      <c r="A86" s="25"/>
      <c r="B86" s="26"/>
      <c r="C86" s="27"/>
      <c r="D86" s="26"/>
      <c r="E86" s="26"/>
      <c r="F86" s="26"/>
      <c r="G86" s="27"/>
      <c r="H86" s="28" t="n">
        <f aca="false">IF(AND(ISNUMBER(D86),ISNUMBER(E86)),D86*E86,0)</f>
        <v>0</v>
      </c>
      <c r="I86" s="29" t="n">
        <f aca="false">IF(AND(ISNUMBER(D86),ISNUMBER(E86),E86&gt;0),ROUND(D86*(1+E86/30),1),0)</f>
        <v>0</v>
      </c>
    </row>
    <row r="87" customFormat="false" ht="15" hidden="false" customHeight="true" outlineLevel="0" collapsed="false">
      <c r="A87" s="25"/>
      <c r="B87" s="26"/>
      <c r="C87" s="27"/>
      <c r="D87" s="26"/>
      <c r="E87" s="26"/>
      <c r="F87" s="26"/>
      <c r="G87" s="27"/>
      <c r="H87" s="28" t="n">
        <f aca="false">IF(AND(ISNUMBER(D87),ISNUMBER(E87)),D87*E87,0)</f>
        <v>0</v>
      </c>
      <c r="I87" s="29" t="n">
        <f aca="false">IF(AND(ISNUMBER(D87),ISNUMBER(E87),E87&gt;0),ROUND(D87*(1+E87/30),1),0)</f>
        <v>0</v>
      </c>
    </row>
    <row r="88" customFormat="false" ht="15" hidden="false" customHeight="true" outlineLevel="0" collapsed="false">
      <c r="A88" s="25"/>
      <c r="B88" s="26"/>
      <c r="C88" s="27"/>
      <c r="D88" s="26"/>
      <c r="E88" s="26"/>
      <c r="F88" s="26"/>
      <c r="G88" s="27"/>
      <c r="H88" s="28" t="n">
        <f aca="false">IF(AND(ISNUMBER(D88),ISNUMBER(E88)),D88*E88,0)</f>
        <v>0</v>
      </c>
      <c r="I88" s="29" t="n">
        <f aca="false">IF(AND(ISNUMBER(D88),ISNUMBER(E88),E88&gt;0),ROUND(D88*(1+E88/30),1),0)</f>
        <v>0</v>
      </c>
    </row>
    <row r="89" customFormat="false" ht="15" hidden="false" customHeight="true" outlineLevel="0" collapsed="false">
      <c r="A89" s="25"/>
      <c r="B89" s="26"/>
      <c r="C89" s="27"/>
      <c r="D89" s="26"/>
      <c r="E89" s="26"/>
      <c r="F89" s="26"/>
      <c r="G89" s="27"/>
      <c r="H89" s="28" t="n">
        <f aca="false">IF(AND(ISNUMBER(D89),ISNUMBER(E89)),D89*E89,0)</f>
        <v>0</v>
      </c>
      <c r="I89" s="29" t="n">
        <f aca="false">IF(AND(ISNUMBER(D89),ISNUMBER(E89),E89&gt;0),ROUND(D89*(1+E89/30),1),0)</f>
        <v>0</v>
      </c>
    </row>
    <row r="90" customFormat="false" ht="15" hidden="false" customHeight="true" outlineLevel="0" collapsed="false">
      <c r="A90" s="25"/>
      <c r="B90" s="26"/>
      <c r="C90" s="27"/>
      <c r="D90" s="26"/>
      <c r="E90" s="26"/>
      <c r="F90" s="26"/>
      <c r="G90" s="27"/>
      <c r="H90" s="28" t="n">
        <f aca="false">IF(AND(ISNUMBER(D90),ISNUMBER(E90)),D90*E90,0)</f>
        <v>0</v>
      </c>
      <c r="I90" s="29" t="n">
        <f aca="false">IF(AND(ISNUMBER(D90),ISNUMBER(E90),E90&gt;0),ROUND(D90*(1+E90/30),1),0)</f>
        <v>0</v>
      </c>
    </row>
    <row r="91" customFormat="false" ht="15" hidden="false" customHeight="true" outlineLevel="0" collapsed="false">
      <c r="A91" s="25"/>
      <c r="B91" s="26"/>
      <c r="C91" s="27"/>
      <c r="D91" s="26"/>
      <c r="E91" s="26"/>
      <c r="F91" s="26"/>
      <c r="G91" s="27"/>
      <c r="H91" s="28" t="n">
        <f aca="false">IF(AND(ISNUMBER(D91),ISNUMBER(E91)),D91*E91,0)</f>
        <v>0</v>
      </c>
      <c r="I91" s="29" t="n">
        <f aca="false">IF(AND(ISNUMBER(D91),ISNUMBER(E91),E91&gt;0),ROUND(D91*(1+E91/30),1),0)</f>
        <v>0</v>
      </c>
    </row>
    <row r="92" customFormat="false" ht="15" hidden="false" customHeight="true" outlineLevel="0" collapsed="false">
      <c r="A92" s="25"/>
      <c r="B92" s="26"/>
      <c r="C92" s="27"/>
      <c r="D92" s="26"/>
      <c r="E92" s="26"/>
      <c r="F92" s="26"/>
      <c r="G92" s="27"/>
      <c r="H92" s="28" t="n">
        <f aca="false">IF(AND(ISNUMBER(D92),ISNUMBER(E92)),D92*E92,0)</f>
        <v>0</v>
      </c>
      <c r="I92" s="29" t="n">
        <f aca="false">IF(AND(ISNUMBER(D92),ISNUMBER(E92),E92&gt;0),ROUND(D92*(1+E92/30),1),0)</f>
        <v>0</v>
      </c>
    </row>
    <row r="93" customFormat="false" ht="15" hidden="false" customHeight="true" outlineLevel="0" collapsed="false">
      <c r="A93" s="25"/>
      <c r="B93" s="26"/>
      <c r="C93" s="27"/>
      <c r="D93" s="26"/>
      <c r="E93" s="26"/>
      <c r="F93" s="26"/>
      <c r="G93" s="27"/>
      <c r="H93" s="28" t="n">
        <f aca="false">IF(AND(ISNUMBER(D93),ISNUMBER(E93)),D93*E93,0)</f>
        <v>0</v>
      </c>
      <c r="I93" s="29" t="n">
        <f aca="false">IF(AND(ISNUMBER(D93),ISNUMBER(E93),E93&gt;0),ROUND(D93*(1+E93/30),1),0)</f>
        <v>0</v>
      </c>
    </row>
    <row r="94" customFormat="false" ht="15" hidden="false" customHeight="true" outlineLevel="0" collapsed="false">
      <c r="A94" s="25"/>
      <c r="B94" s="26"/>
      <c r="C94" s="27"/>
      <c r="D94" s="26"/>
      <c r="E94" s="26"/>
      <c r="F94" s="26"/>
      <c r="G94" s="27"/>
      <c r="H94" s="28" t="n">
        <f aca="false">IF(AND(ISNUMBER(D94),ISNUMBER(E94)),D94*E94,0)</f>
        <v>0</v>
      </c>
      <c r="I94" s="29" t="n">
        <f aca="false">IF(AND(ISNUMBER(D94),ISNUMBER(E94),E94&gt;0),ROUND(D94*(1+E94/30),1),0)</f>
        <v>0</v>
      </c>
    </row>
    <row r="95" customFormat="false" ht="15" hidden="false" customHeight="true" outlineLevel="0" collapsed="false">
      <c r="A95" s="25"/>
      <c r="B95" s="26"/>
      <c r="C95" s="27"/>
      <c r="D95" s="26"/>
      <c r="E95" s="26"/>
      <c r="F95" s="26"/>
      <c r="G95" s="27"/>
      <c r="H95" s="28" t="n">
        <f aca="false">IF(AND(ISNUMBER(D95),ISNUMBER(E95)),D95*E95,0)</f>
        <v>0</v>
      </c>
      <c r="I95" s="29" t="n">
        <f aca="false">IF(AND(ISNUMBER(D95),ISNUMBER(E95),E95&gt;0),ROUND(D95*(1+E95/30),1),0)</f>
        <v>0</v>
      </c>
    </row>
    <row r="96" customFormat="false" ht="15" hidden="false" customHeight="true" outlineLevel="0" collapsed="false">
      <c r="A96" s="25"/>
      <c r="B96" s="26"/>
      <c r="C96" s="27"/>
      <c r="D96" s="26"/>
      <c r="E96" s="26"/>
      <c r="F96" s="26"/>
      <c r="G96" s="27"/>
      <c r="H96" s="28" t="n">
        <f aca="false">IF(AND(ISNUMBER(D96),ISNUMBER(E96)),D96*E96,0)</f>
        <v>0</v>
      </c>
      <c r="I96" s="29" t="n">
        <f aca="false">IF(AND(ISNUMBER(D96),ISNUMBER(E96),E96&gt;0),ROUND(D96*(1+E96/30),1),0)</f>
        <v>0</v>
      </c>
    </row>
    <row r="97" customFormat="false" ht="15" hidden="false" customHeight="true" outlineLevel="0" collapsed="false">
      <c r="A97" s="25"/>
      <c r="B97" s="26"/>
      <c r="C97" s="27"/>
      <c r="D97" s="26"/>
      <c r="E97" s="26"/>
      <c r="F97" s="26"/>
      <c r="G97" s="27"/>
      <c r="H97" s="28" t="n">
        <f aca="false">IF(AND(ISNUMBER(D97),ISNUMBER(E97)),D97*E97,0)</f>
        <v>0</v>
      </c>
      <c r="I97" s="29" t="n">
        <f aca="false">IF(AND(ISNUMBER(D97),ISNUMBER(E97),E97&gt;0),ROUND(D97*(1+E97/30),1),0)</f>
        <v>0</v>
      </c>
    </row>
    <row r="98" customFormat="false" ht="15" hidden="false" customHeight="true" outlineLevel="0" collapsed="false">
      <c r="A98" s="25"/>
      <c r="B98" s="26"/>
      <c r="C98" s="27"/>
      <c r="D98" s="26"/>
      <c r="E98" s="26"/>
      <c r="F98" s="26"/>
      <c r="G98" s="27"/>
      <c r="H98" s="28" t="n">
        <f aca="false">IF(AND(ISNUMBER(D98),ISNUMBER(E98)),D98*E98,0)</f>
        <v>0</v>
      </c>
      <c r="I98" s="29" t="n">
        <f aca="false">IF(AND(ISNUMBER(D98),ISNUMBER(E98),E98&gt;0),ROUND(D98*(1+E98/30),1),0)</f>
        <v>0</v>
      </c>
    </row>
    <row r="99" customFormat="false" ht="15" hidden="false" customHeight="true" outlineLevel="0" collapsed="false">
      <c r="A99" s="25"/>
      <c r="B99" s="26"/>
      <c r="C99" s="27"/>
      <c r="D99" s="26"/>
      <c r="E99" s="26"/>
      <c r="F99" s="26"/>
      <c r="G99" s="27"/>
      <c r="H99" s="28" t="n">
        <f aca="false">IF(AND(ISNUMBER(D99),ISNUMBER(E99)),D99*E99,0)</f>
        <v>0</v>
      </c>
      <c r="I99" s="29" t="n">
        <f aca="false">IF(AND(ISNUMBER(D99),ISNUMBER(E99),E99&gt;0),ROUND(D99*(1+E99/30),1),0)</f>
        <v>0</v>
      </c>
    </row>
    <row r="100" customFormat="false" ht="15" hidden="false" customHeight="true" outlineLevel="0" collapsed="false">
      <c r="A100" s="25"/>
      <c r="B100" s="26"/>
      <c r="C100" s="27"/>
      <c r="D100" s="26"/>
      <c r="E100" s="26"/>
      <c r="F100" s="26"/>
      <c r="G100" s="27"/>
      <c r="H100" s="28" t="n">
        <f aca="false">IF(AND(ISNUMBER(D100),ISNUMBER(E100)),D100*E100,0)</f>
        <v>0</v>
      </c>
      <c r="I100" s="29" t="n">
        <f aca="false">IF(AND(ISNUMBER(D100),ISNUMBER(E100),E100&gt;0),ROUND(D100*(1+E100/30),1),0)</f>
        <v>0</v>
      </c>
    </row>
    <row r="101" customFormat="false" ht="15" hidden="false" customHeight="true" outlineLevel="0" collapsed="false">
      <c r="A101" s="25"/>
      <c r="B101" s="26"/>
      <c r="C101" s="27"/>
      <c r="D101" s="26"/>
      <c r="E101" s="26"/>
      <c r="F101" s="26"/>
      <c r="G101" s="27"/>
      <c r="H101" s="28" t="n">
        <f aca="false">IF(AND(ISNUMBER(D101),ISNUMBER(E101)),D101*E101,0)</f>
        <v>0</v>
      </c>
      <c r="I101" s="29" t="n">
        <f aca="false">IF(AND(ISNUMBER(D101),ISNUMBER(E101),E101&gt;0),ROUND(D101*(1+E101/30),1),0)</f>
        <v>0</v>
      </c>
    </row>
    <row r="102" customFormat="false" ht="15" hidden="false" customHeight="true" outlineLevel="0" collapsed="false">
      <c r="A102" s="25"/>
      <c r="B102" s="26"/>
      <c r="C102" s="27"/>
      <c r="D102" s="26"/>
      <c r="E102" s="26"/>
      <c r="F102" s="26"/>
      <c r="G102" s="27"/>
      <c r="H102" s="28" t="n">
        <f aca="false">IF(AND(ISNUMBER(D102),ISNUMBER(E102)),D102*E102,0)</f>
        <v>0</v>
      </c>
      <c r="I102" s="29" t="n">
        <f aca="false">IF(AND(ISNUMBER(D102),ISNUMBER(E102),E102&gt;0),ROUND(D102*(1+E102/30),1),0)</f>
        <v>0</v>
      </c>
    </row>
    <row r="103" customFormat="false" ht="15" hidden="false" customHeight="true" outlineLevel="0" collapsed="false">
      <c r="A103" s="25"/>
      <c r="B103" s="26"/>
      <c r="C103" s="27"/>
      <c r="D103" s="26"/>
      <c r="E103" s="26"/>
      <c r="F103" s="26"/>
      <c r="G103" s="27"/>
      <c r="H103" s="28" t="n">
        <f aca="false">IF(AND(ISNUMBER(D103),ISNUMBER(E103)),D103*E103,0)</f>
        <v>0</v>
      </c>
      <c r="I103" s="29" t="n">
        <f aca="false">IF(AND(ISNUMBER(D103),ISNUMBER(E103),E103&gt;0),ROUND(D103*(1+E103/30),1),0)</f>
        <v>0</v>
      </c>
    </row>
    <row r="104" customFormat="false" ht="15" hidden="false" customHeight="true" outlineLevel="0" collapsed="false">
      <c r="A104" s="25"/>
      <c r="B104" s="26"/>
      <c r="C104" s="27"/>
      <c r="D104" s="26"/>
      <c r="E104" s="26"/>
      <c r="F104" s="26"/>
      <c r="G104" s="27"/>
      <c r="H104" s="28" t="n">
        <f aca="false">IF(AND(ISNUMBER(D104),ISNUMBER(E104)),D104*E104,0)</f>
        <v>0</v>
      </c>
      <c r="I104" s="29" t="n">
        <f aca="false">IF(AND(ISNUMBER(D104),ISNUMBER(E104),E104&gt;0),ROUND(D104*(1+E104/30),1),0)</f>
        <v>0</v>
      </c>
    </row>
    <row r="105" customFormat="false" ht="15" hidden="false" customHeight="true" outlineLevel="0" collapsed="false">
      <c r="A105" s="25"/>
      <c r="B105" s="26"/>
      <c r="C105" s="27"/>
      <c r="D105" s="26"/>
      <c r="E105" s="26"/>
      <c r="F105" s="26"/>
      <c r="G105" s="27"/>
      <c r="H105" s="28" t="n">
        <f aca="false">IF(AND(ISNUMBER(D105),ISNUMBER(E105)),D105*E105,0)</f>
        <v>0</v>
      </c>
      <c r="I105" s="29" t="n">
        <f aca="false">IF(AND(ISNUMBER(D105),ISNUMBER(E105),E105&gt;0),ROUND(D105*(1+E105/30),1),0)</f>
        <v>0</v>
      </c>
    </row>
    <row r="106" customFormat="false" ht="15" hidden="false" customHeight="true" outlineLevel="0" collapsed="false">
      <c r="A106" s="25"/>
      <c r="B106" s="26"/>
      <c r="C106" s="27"/>
      <c r="D106" s="26"/>
      <c r="E106" s="26"/>
      <c r="F106" s="26"/>
      <c r="G106" s="27"/>
      <c r="H106" s="28" t="n">
        <f aca="false">IF(AND(ISNUMBER(D106),ISNUMBER(E106)),D106*E106,0)</f>
        <v>0</v>
      </c>
      <c r="I106" s="29" t="n">
        <f aca="false">IF(AND(ISNUMBER(D106),ISNUMBER(E106),E106&gt;0),ROUND(D106*(1+E106/30),1),0)</f>
        <v>0</v>
      </c>
    </row>
    <row r="107" customFormat="false" ht="15" hidden="false" customHeight="true" outlineLevel="0" collapsed="false">
      <c r="A107" s="25"/>
      <c r="B107" s="26"/>
      <c r="C107" s="27"/>
      <c r="D107" s="26"/>
      <c r="E107" s="26"/>
      <c r="F107" s="26"/>
      <c r="G107" s="27"/>
      <c r="H107" s="28" t="n">
        <f aca="false">IF(AND(ISNUMBER(D107),ISNUMBER(E107)),D107*E107,0)</f>
        <v>0</v>
      </c>
      <c r="I107" s="29" t="n">
        <f aca="false">IF(AND(ISNUMBER(D107),ISNUMBER(E107),E107&gt;0),ROUND(D107*(1+E107/30),1),0)</f>
        <v>0</v>
      </c>
    </row>
    <row r="108" customFormat="false" ht="15" hidden="false" customHeight="true" outlineLevel="0" collapsed="false">
      <c r="A108" s="25"/>
      <c r="B108" s="26"/>
      <c r="C108" s="27"/>
      <c r="D108" s="26"/>
      <c r="E108" s="26"/>
      <c r="F108" s="26"/>
      <c r="G108" s="27"/>
      <c r="H108" s="28" t="n">
        <f aca="false">IF(AND(ISNUMBER(D108),ISNUMBER(E108)),D108*E108,0)</f>
        <v>0</v>
      </c>
      <c r="I108" s="29" t="n">
        <f aca="false">IF(AND(ISNUMBER(D108),ISNUMBER(E108),E108&gt;0),ROUND(D108*(1+E108/30),1),0)</f>
        <v>0</v>
      </c>
    </row>
    <row r="109" customFormat="false" ht="15" hidden="false" customHeight="true" outlineLevel="0" collapsed="false">
      <c r="A109" s="25"/>
      <c r="B109" s="26"/>
      <c r="C109" s="27"/>
      <c r="D109" s="26"/>
      <c r="E109" s="26"/>
      <c r="F109" s="26"/>
      <c r="G109" s="27"/>
      <c r="H109" s="28" t="n">
        <f aca="false">IF(AND(ISNUMBER(D109),ISNUMBER(E109)),D109*E109,0)</f>
        <v>0</v>
      </c>
      <c r="I109" s="29" t="n">
        <f aca="false">IF(AND(ISNUMBER(D109),ISNUMBER(E109),E109&gt;0),ROUND(D109*(1+E109/30),1),0)</f>
        <v>0</v>
      </c>
    </row>
    <row r="110" customFormat="false" ht="15" hidden="false" customHeight="true" outlineLevel="0" collapsed="false">
      <c r="A110" s="25"/>
      <c r="B110" s="26"/>
      <c r="C110" s="27"/>
      <c r="D110" s="26"/>
      <c r="E110" s="26"/>
      <c r="F110" s="26"/>
      <c r="G110" s="27"/>
      <c r="H110" s="28" t="n">
        <f aca="false">IF(AND(ISNUMBER(D110),ISNUMBER(E110)),D110*E110,0)</f>
        <v>0</v>
      </c>
      <c r="I110" s="29" t="n">
        <f aca="false">IF(AND(ISNUMBER(D110),ISNUMBER(E110),E110&gt;0),ROUND(D110*(1+E110/30),1),0)</f>
        <v>0</v>
      </c>
    </row>
    <row r="111" customFormat="false" ht="15" hidden="false" customHeight="true" outlineLevel="0" collapsed="false">
      <c r="A111" s="25"/>
      <c r="B111" s="26"/>
      <c r="C111" s="27"/>
      <c r="D111" s="26"/>
      <c r="E111" s="26"/>
      <c r="F111" s="26"/>
      <c r="G111" s="27"/>
      <c r="H111" s="28" t="n">
        <f aca="false">IF(AND(ISNUMBER(D111),ISNUMBER(E111)),D111*E111,0)</f>
        <v>0</v>
      </c>
      <c r="I111" s="29" t="n">
        <f aca="false">IF(AND(ISNUMBER(D111),ISNUMBER(E111),E111&gt;0),ROUND(D111*(1+E111/30),1),0)</f>
        <v>0</v>
      </c>
    </row>
    <row r="112" customFormat="false" ht="15" hidden="false" customHeight="true" outlineLevel="0" collapsed="false">
      <c r="A112" s="25"/>
      <c r="B112" s="26"/>
      <c r="C112" s="27"/>
      <c r="D112" s="26"/>
      <c r="E112" s="26"/>
      <c r="F112" s="26"/>
      <c r="G112" s="27"/>
      <c r="H112" s="28" t="n">
        <f aca="false">IF(AND(ISNUMBER(D112),ISNUMBER(E112)),D112*E112,0)</f>
        <v>0</v>
      </c>
      <c r="I112" s="29" t="n">
        <f aca="false">IF(AND(ISNUMBER(D112),ISNUMBER(E112),E112&gt;0),ROUND(D112*(1+E112/30),1),0)</f>
        <v>0</v>
      </c>
    </row>
    <row r="113" customFormat="false" ht="15" hidden="false" customHeight="true" outlineLevel="0" collapsed="false">
      <c r="A113" s="25"/>
      <c r="B113" s="26"/>
      <c r="C113" s="27"/>
      <c r="D113" s="26"/>
      <c r="E113" s="26"/>
      <c r="F113" s="26"/>
      <c r="G113" s="27"/>
      <c r="H113" s="28" t="n">
        <f aca="false">IF(AND(ISNUMBER(D113),ISNUMBER(E113)),D113*E113,0)</f>
        <v>0</v>
      </c>
      <c r="I113" s="29" t="n">
        <f aca="false">IF(AND(ISNUMBER(D113),ISNUMBER(E113),E113&gt;0),ROUND(D113*(1+E113/30),1),0)</f>
        <v>0</v>
      </c>
    </row>
    <row r="114" customFormat="false" ht="15" hidden="false" customHeight="true" outlineLevel="0" collapsed="false">
      <c r="A114" s="25"/>
      <c r="B114" s="26"/>
      <c r="C114" s="27"/>
      <c r="D114" s="26"/>
      <c r="E114" s="26"/>
      <c r="F114" s="26"/>
      <c r="G114" s="27"/>
      <c r="H114" s="28" t="n">
        <f aca="false">IF(AND(ISNUMBER(D114),ISNUMBER(E114)),D114*E114,0)</f>
        <v>0</v>
      </c>
      <c r="I114" s="29" t="n">
        <f aca="false">IF(AND(ISNUMBER(D114),ISNUMBER(E114),E114&gt;0),ROUND(D114*(1+E114/30),1),0)</f>
        <v>0</v>
      </c>
    </row>
    <row r="115" customFormat="false" ht="15" hidden="false" customHeight="true" outlineLevel="0" collapsed="false">
      <c r="A115" s="25"/>
      <c r="B115" s="26"/>
      <c r="C115" s="27"/>
      <c r="D115" s="26"/>
      <c r="E115" s="26"/>
      <c r="F115" s="26"/>
      <c r="G115" s="27"/>
      <c r="H115" s="28" t="n">
        <f aca="false">IF(AND(ISNUMBER(D115),ISNUMBER(E115)),D115*E115,0)</f>
        <v>0</v>
      </c>
      <c r="I115" s="29" t="n">
        <f aca="false">IF(AND(ISNUMBER(D115),ISNUMBER(E115),E115&gt;0),ROUND(D115*(1+E115/30),1),0)</f>
        <v>0</v>
      </c>
    </row>
    <row r="116" customFormat="false" ht="15" hidden="false" customHeight="true" outlineLevel="0" collapsed="false">
      <c r="A116" s="25"/>
      <c r="B116" s="26"/>
      <c r="C116" s="27"/>
      <c r="D116" s="26"/>
      <c r="E116" s="26"/>
      <c r="F116" s="26"/>
      <c r="G116" s="27"/>
      <c r="H116" s="28" t="n">
        <f aca="false">IF(AND(ISNUMBER(D116),ISNUMBER(E116)),D116*E116,0)</f>
        <v>0</v>
      </c>
      <c r="I116" s="29" t="n">
        <f aca="false">IF(AND(ISNUMBER(D116),ISNUMBER(E116),E116&gt;0),ROUND(D116*(1+E116/30),1),0)</f>
        <v>0</v>
      </c>
    </row>
    <row r="117" customFormat="false" ht="15" hidden="false" customHeight="true" outlineLevel="0" collapsed="false">
      <c r="A117" s="25"/>
      <c r="B117" s="26"/>
      <c r="C117" s="27"/>
      <c r="D117" s="26"/>
      <c r="E117" s="26"/>
      <c r="F117" s="26"/>
      <c r="G117" s="27"/>
      <c r="H117" s="28" t="n">
        <f aca="false">IF(AND(ISNUMBER(D117),ISNUMBER(E117)),D117*E117,0)</f>
        <v>0</v>
      </c>
      <c r="I117" s="29" t="n">
        <f aca="false">IF(AND(ISNUMBER(D117),ISNUMBER(E117),E117&gt;0),ROUND(D117*(1+E117/30),1),0)</f>
        <v>0</v>
      </c>
    </row>
    <row r="118" customFormat="false" ht="15" hidden="false" customHeight="true" outlineLevel="0" collapsed="false">
      <c r="A118" s="25"/>
      <c r="B118" s="26"/>
      <c r="C118" s="27"/>
      <c r="D118" s="26"/>
      <c r="E118" s="26"/>
      <c r="F118" s="26"/>
      <c r="G118" s="27"/>
      <c r="H118" s="28" t="n">
        <f aca="false">IF(AND(ISNUMBER(D118),ISNUMBER(E118)),D118*E118,0)</f>
        <v>0</v>
      </c>
      <c r="I118" s="29" t="n">
        <f aca="false">IF(AND(ISNUMBER(D118),ISNUMBER(E118),E118&gt;0),ROUND(D118*(1+E118/30),1),0)</f>
        <v>0</v>
      </c>
    </row>
    <row r="119" customFormat="false" ht="15" hidden="false" customHeight="true" outlineLevel="0" collapsed="false">
      <c r="A119" s="25"/>
      <c r="B119" s="26"/>
      <c r="C119" s="27"/>
      <c r="D119" s="26"/>
      <c r="E119" s="26"/>
      <c r="F119" s="26"/>
      <c r="G119" s="27"/>
      <c r="H119" s="28" t="n">
        <f aca="false">IF(AND(ISNUMBER(D119),ISNUMBER(E119)),D119*E119,0)</f>
        <v>0</v>
      </c>
      <c r="I119" s="29" t="n">
        <f aca="false">IF(AND(ISNUMBER(D119),ISNUMBER(E119),E119&gt;0),ROUND(D119*(1+E119/30),1),0)</f>
        <v>0</v>
      </c>
    </row>
    <row r="120" customFormat="false" ht="15" hidden="false" customHeight="true" outlineLevel="0" collapsed="false">
      <c r="A120" s="25"/>
      <c r="B120" s="26"/>
      <c r="C120" s="27"/>
      <c r="D120" s="26"/>
      <c r="E120" s="26"/>
      <c r="F120" s="26"/>
      <c r="G120" s="27"/>
      <c r="H120" s="28" t="n">
        <f aca="false">IF(AND(ISNUMBER(D120),ISNUMBER(E120)),D120*E120,0)</f>
        <v>0</v>
      </c>
      <c r="I120" s="29" t="n">
        <f aca="false">IF(AND(ISNUMBER(D120),ISNUMBER(E120),E120&gt;0),ROUND(D120*(1+E120/30),1),0)</f>
        <v>0</v>
      </c>
    </row>
    <row r="121" customFormat="false" ht="15" hidden="false" customHeight="true" outlineLevel="0" collapsed="false">
      <c r="A121" s="25"/>
      <c r="B121" s="26"/>
      <c r="C121" s="27"/>
      <c r="D121" s="26"/>
      <c r="E121" s="26"/>
      <c r="F121" s="26"/>
      <c r="G121" s="27"/>
      <c r="H121" s="28" t="n">
        <f aca="false">IF(AND(ISNUMBER(D121),ISNUMBER(E121)),D121*E121,0)</f>
        <v>0</v>
      </c>
      <c r="I121" s="29" t="n">
        <f aca="false">IF(AND(ISNUMBER(D121),ISNUMBER(E121),E121&gt;0),ROUND(D121*(1+E121/30),1),0)</f>
        <v>0</v>
      </c>
    </row>
    <row r="122" customFormat="false" ht="15" hidden="false" customHeight="true" outlineLevel="0" collapsed="false">
      <c r="A122" s="25"/>
      <c r="B122" s="26"/>
      <c r="C122" s="27"/>
      <c r="D122" s="26"/>
      <c r="E122" s="26"/>
      <c r="F122" s="26"/>
      <c r="G122" s="27"/>
      <c r="H122" s="28" t="n">
        <f aca="false">IF(AND(ISNUMBER(D122),ISNUMBER(E122)),D122*E122,0)</f>
        <v>0</v>
      </c>
      <c r="I122" s="29" t="n">
        <f aca="false">IF(AND(ISNUMBER(D122),ISNUMBER(E122),E122&gt;0),ROUND(D122*(1+E122/30),1),0)</f>
        <v>0</v>
      </c>
    </row>
    <row r="123" customFormat="false" ht="15" hidden="false" customHeight="true" outlineLevel="0" collapsed="false">
      <c r="A123" s="25"/>
      <c r="B123" s="26"/>
      <c r="C123" s="27"/>
      <c r="D123" s="26"/>
      <c r="E123" s="26"/>
      <c r="F123" s="26"/>
      <c r="G123" s="27"/>
      <c r="H123" s="28" t="n">
        <f aca="false">IF(AND(ISNUMBER(D123),ISNUMBER(E123)),D123*E123,0)</f>
        <v>0</v>
      </c>
      <c r="I123" s="29" t="n">
        <f aca="false">IF(AND(ISNUMBER(D123),ISNUMBER(E123),E123&gt;0),ROUND(D123*(1+E123/30),1),0)</f>
        <v>0</v>
      </c>
    </row>
    <row r="124" customFormat="false" ht="15" hidden="false" customHeight="true" outlineLevel="0" collapsed="false">
      <c r="A124" s="25"/>
      <c r="B124" s="26"/>
      <c r="C124" s="27"/>
      <c r="D124" s="26"/>
      <c r="E124" s="26"/>
      <c r="F124" s="26"/>
      <c r="G124" s="27"/>
      <c r="H124" s="28" t="n">
        <f aca="false">IF(AND(ISNUMBER(D124),ISNUMBER(E124)),D124*E124,0)</f>
        <v>0</v>
      </c>
      <c r="I124" s="29" t="n">
        <f aca="false">IF(AND(ISNUMBER(D124),ISNUMBER(E124),E124&gt;0),ROUND(D124*(1+E124/30),1),0)</f>
        <v>0</v>
      </c>
    </row>
    <row r="125" customFormat="false" ht="15" hidden="false" customHeight="true" outlineLevel="0" collapsed="false">
      <c r="A125" s="25"/>
      <c r="B125" s="26"/>
      <c r="C125" s="27"/>
      <c r="D125" s="26"/>
      <c r="E125" s="26"/>
      <c r="F125" s="26"/>
      <c r="G125" s="27"/>
      <c r="H125" s="28" t="n">
        <f aca="false">IF(AND(ISNUMBER(D125),ISNUMBER(E125)),D125*E125,0)</f>
        <v>0</v>
      </c>
      <c r="I125" s="29" t="n">
        <f aca="false">IF(AND(ISNUMBER(D125),ISNUMBER(E125),E125&gt;0),ROUND(D125*(1+E125/30),1),0)</f>
        <v>0</v>
      </c>
    </row>
    <row r="126" customFormat="false" ht="15" hidden="false" customHeight="true" outlineLevel="0" collapsed="false">
      <c r="A126" s="25"/>
      <c r="B126" s="26"/>
      <c r="C126" s="27"/>
      <c r="D126" s="26"/>
      <c r="E126" s="26"/>
      <c r="F126" s="26"/>
      <c r="G126" s="27"/>
      <c r="H126" s="28" t="n">
        <f aca="false">IF(AND(ISNUMBER(D126),ISNUMBER(E126)),D126*E126,0)</f>
        <v>0</v>
      </c>
      <c r="I126" s="29" t="n">
        <f aca="false">IF(AND(ISNUMBER(D126),ISNUMBER(E126),E126&gt;0),ROUND(D126*(1+E126/30),1),0)</f>
        <v>0</v>
      </c>
    </row>
    <row r="127" customFormat="false" ht="15" hidden="false" customHeight="true" outlineLevel="0" collapsed="false">
      <c r="A127" s="25"/>
      <c r="B127" s="26"/>
      <c r="C127" s="27"/>
      <c r="D127" s="26"/>
      <c r="E127" s="26"/>
      <c r="F127" s="26"/>
      <c r="G127" s="27"/>
      <c r="H127" s="28" t="n">
        <f aca="false">IF(AND(ISNUMBER(D127),ISNUMBER(E127)),D127*E127,0)</f>
        <v>0</v>
      </c>
      <c r="I127" s="29" t="n">
        <f aca="false">IF(AND(ISNUMBER(D127),ISNUMBER(E127),E127&gt;0),ROUND(D127*(1+E127/30),1),0)</f>
        <v>0</v>
      </c>
    </row>
    <row r="128" customFormat="false" ht="15" hidden="false" customHeight="true" outlineLevel="0" collapsed="false">
      <c r="A128" s="25"/>
      <c r="B128" s="26"/>
      <c r="C128" s="27"/>
      <c r="D128" s="26"/>
      <c r="E128" s="26"/>
      <c r="F128" s="26"/>
      <c r="G128" s="27"/>
      <c r="H128" s="28" t="n">
        <f aca="false">IF(AND(ISNUMBER(D128),ISNUMBER(E128)),D128*E128,0)</f>
        <v>0</v>
      </c>
      <c r="I128" s="29" t="n">
        <f aca="false">IF(AND(ISNUMBER(D128),ISNUMBER(E128),E128&gt;0),ROUND(D128*(1+E128/30),1),0)</f>
        <v>0</v>
      </c>
    </row>
    <row r="129" customFormat="false" ht="15" hidden="false" customHeight="true" outlineLevel="0" collapsed="false">
      <c r="A129" s="25"/>
      <c r="B129" s="26"/>
      <c r="C129" s="27"/>
      <c r="D129" s="26"/>
      <c r="E129" s="26"/>
      <c r="F129" s="26"/>
      <c r="G129" s="27"/>
      <c r="H129" s="28" t="n">
        <f aca="false">IF(AND(ISNUMBER(D129),ISNUMBER(E129)),D129*E129,0)</f>
        <v>0</v>
      </c>
      <c r="I129" s="29" t="n">
        <f aca="false">IF(AND(ISNUMBER(D129),ISNUMBER(E129),E129&gt;0),ROUND(D129*(1+E129/30),1),0)</f>
        <v>0</v>
      </c>
    </row>
    <row r="130" customFormat="false" ht="15" hidden="false" customHeight="true" outlineLevel="0" collapsed="false">
      <c r="A130" s="25"/>
      <c r="B130" s="26"/>
      <c r="C130" s="27"/>
      <c r="D130" s="26"/>
      <c r="E130" s="26"/>
      <c r="F130" s="26"/>
      <c r="G130" s="27"/>
      <c r="H130" s="28" t="n">
        <f aca="false">IF(AND(ISNUMBER(D130),ISNUMBER(E130)),D130*E130,0)</f>
        <v>0</v>
      </c>
      <c r="I130" s="29" t="n">
        <f aca="false">IF(AND(ISNUMBER(D130),ISNUMBER(E130),E130&gt;0),ROUND(D130*(1+E130/30),1),0)</f>
        <v>0</v>
      </c>
    </row>
    <row r="131" customFormat="false" ht="15" hidden="false" customHeight="true" outlineLevel="0" collapsed="false">
      <c r="A131" s="25"/>
      <c r="B131" s="26"/>
      <c r="C131" s="27"/>
      <c r="D131" s="26"/>
      <c r="E131" s="26"/>
      <c r="F131" s="26"/>
      <c r="G131" s="27"/>
      <c r="H131" s="28" t="n">
        <f aca="false">IF(AND(ISNUMBER(D131),ISNUMBER(E131)),D131*E131,0)</f>
        <v>0</v>
      </c>
      <c r="I131" s="29" t="n">
        <f aca="false">IF(AND(ISNUMBER(D131),ISNUMBER(E131),E131&gt;0),ROUND(D131*(1+E131/30),1),0)</f>
        <v>0</v>
      </c>
    </row>
    <row r="132" customFormat="false" ht="15" hidden="false" customHeight="true" outlineLevel="0" collapsed="false">
      <c r="A132" s="25"/>
      <c r="B132" s="26"/>
      <c r="C132" s="27"/>
      <c r="D132" s="26"/>
      <c r="E132" s="26"/>
      <c r="F132" s="26"/>
      <c r="G132" s="27"/>
      <c r="H132" s="28" t="n">
        <f aca="false">IF(AND(ISNUMBER(D132),ISNUMBER(E132)),D132*E132,0)</f>
        <v>0</v>
      </c>
      <c r="I132" s="29" t="n">
        <f aca="false">IF(AND(ISNUMBER(D132),ISNUMBER(E132),E132&gt;0),ROUND(D132*(1+E132/30),1),0)</f>
        <v>0</v>
      </c>
    </row>
    <row r="133" customFormat="false" ht="15" hidden="false" customHeight="true" outlineLevel="0" collapsed="false">
      <c r="A133" s="25"/>
      <c r="B133" s="26"/>
      <c r="C133" s="27"/>
      <c r="D133" s="26"/>
      <c r="E133" s="26"/>
      <c r="F133" s="26"/>
      <c r="G133" s="27"/>
      <c r="H133" s="28" t="n">
        <f aca="false">IF(AND(ISNUMBER(D133),ISNUMBER(E133)),D133*E133,0)</f>
        <v>0</v>
      </c>
      <c r="I133" s="29" t="n">
        <f aca="false">IF(AND(ISNUMBER(D133),ISNUMBER(E133),E133&gt;0),ROUND(D133*(1+E133/30),1),0)</f>
        <v>0</v>
      </c>
    </row>
    <row r="134" customFormat="false" ht="15" hidden="false" customHeight="true" outlineLevel="0" collapsed="false">
      <c r="A134" s="25"/>
      <c r="B134" s="26"/>
      <c r="C134" s="27"/>
      <c r="D134" s="26"/>
      <c r="E134" s="26"/>
      <c r="F134" s="26"/>
      <c r="G134" s="27"/>
      <c r="H134" s="28" t="n">
        <f aca="false">IF(AND(ISNUMBER(D134),ISNUMBER(E134)),D134*E134,0)</f>
        <v>0</v>
      </c>
      <c r="I134" s="29" t="n">
        <f aca="false">IF(AND(ISNUMBER(D134),ISNUMBER(E134),E134&gt;0),ROUND(D134*(1+E134/30),1),0)</f>
        <v>0</v>
      </c>
    </row>
    <row r="135" customFormat="false" ht="15" hidden="false" customHeight="true" outlineLevel="0" collapsed="false">
      <c r="A135" s="25"/>
      <c r="B135" s="26"/>
      <c r="C135" s="27"/>
      <c r="D135" s="26"/>
      <c r="E135" s="26"/>
      <c r="F135" s="26"/>
      <c r="G135" s="27"/>
      <c r="H135" s="28" t="n">
        <f aca="false">IF(AND(ISNUMBER(D135),ISNUMBER(E135)),D135*E135,0)</f>
        <v>0</v>
      </c>
      <c r="I135" s="29" t="n">
        <f aca="false">IF(AND(ISNUMBER(D135),ISNUMBER(E135),E135&gt;0),ROUND(D135*(1+E135/30),1),0)</f>
        <v>0</v>
      </c>
    </row>
    <row r="136" customFormat="false" ht="15" hidden="false" customHeight="true" outlineLevel="0" collapsed="false">
      <c r="A136" s="25"/>
      <c r="B136" s="26"/>
      <c r="C136" s="27"/>
      <c r="D136" s="26"/>
      <c r="E136" s="26"/>
      <c r="F136" s="26"/>
      <c r="G136" s="27"/>
      <c r="H136" s="28" t="n">
        <f aca="false">IF(AND(ISNUMBER(D136),ISNUMBER(E136)),D136*E136,0)</f>
        <v>0</v>
      </c>
      <c r="I136" s="29" t="n">
        <f aca="false">IF(AND(ISNUMBER(D136),ISNUMBER(E136),E136&gt;0),ROUND(D136*(1+E136/30),1),0)</f>
        <v>0</v>
      </c>
    </row>
    <row r="137" customFormat="false" ht="15" hidden="false" customHeight="true" outlineLevel="0" collapsed="false">
      <c r="A137" s="25"/>
      <c r="B137" s="26"/>
      <c r="C137" s="27"/>
      <c r="D137" s="26"/>
      <c r="E137" s="26"/>
      <c r="F137" s="26"/>
      <c r="G137" s="27"/>
      <c r="H137" s="28" t="n">
        <f aca="false">IF(AND(ISNUMBER(D137),ISNUMBER(E137)),D137*E137,0)</f>
        <v>0</v>
      </c>
      <c r="I137" s="29" t="n">
        <f aca="false">IF(AND(ISNUMBER(D137),ISNUMBER(E137),E137&gt;0),ROUND(D137*(1+E137/30),1),0)</f>
        <v>0</v>
      </c>
    </row>
    <row r="138" customFormat="false" ht="15" hidden="false" customHeight="true" outlineLevel="0" collapsed="false">
      <c r="A138" s="25"/>
      <c r="B138" s="26"/>
      <c r="C138" s="27"/>
      <c r="D138" s="26"/>
      <c r="E138" s="26"/>
      <c r="F138" s="26"/>
      <c r="G138" s="27"/>
      <c r="H138" s="28" t="n">
        <f aca="false">IF(AND(ISNUMBER(D138),ISNUMBER(E138)),D138*E138,0)</f>
        <v>0</v>
      </c>
      <c r="I138" s="29" t="n">
        <f aca="false">IF(AND(ISNUMBER(D138),ISNUMBER(E138),E138&gt;0),ROUND(D138*(1+E138/30),1),0)</f>
        <v>0</v>
      </c>
    </row>
    <row r="139" customFormat="false" ht="15" hidden="false" customHeight="true" outlineLevel="0" collapsed="false">
      <c r="A139" s="25"/>
      <c r="B139" s="26"/>
      <c r="C139" s="27"/>
      <c r="D139" s="26"/>
      <c r="E139" s="26"/>
      <c r="F139" s="26"/>
      <c r="G139" s="27"/>
      <c r="H139" s="28" t="n">
        <f aca="false">IF(AND(ISNUMBER(D139),ISNUMBER(E139)),D139*E139,0)</f>
        <v>0</v>
      </c>
      <c r="I139" s="29" t="n">
        <f aca="false">IF(AND(ISNUMBER(D139),ISNUMBER(E139),E139&gt;0),ROUND(D139*(1+E139/30),1),0)</f>
        <v>0</v>
      </c>
    </row>
    <row r="140" customFormat="false" ht="15" hidden="false" customHeight="true" outlineLevel="0" collapsed="false">
      <c r="A140" s="25"/>
      <c r="B140" s="26"/>
      <c r="C140" s="27"/>
      <c r="D140" s="26"/>
      <c r="E140" s="26"/>
      <c r="F140" s="26"/>
      <c r="G140" s="27"/>
      <c r="H140" s="28" t="n">
        <f aca="false">IF(AND(ISNUMBER(D140),ISNUMBER(E140)),D140*E140,0)</f>
        <v>0</v>
      </c>
      <c r="I140" s="29" t="n">
        <f aca="false">IF(AND(ISNUMBER(D140),ISNUMBER(E140),E140&gt;0),ROUND(D140*(1+E140/30),1),0)</f>
        <v>0</v>
      </c>
    </row>
    <row r="141" customFormat="false" ht="15" hidden="false" customHeight="true" outlineLevel="0" collapsed="false">
      <c r="A141" s="25"/>
      <c r="B141" s="26"/>
      <c r="C141" s="27"/>
      <c r="D141" s="26"/>
      <c r="E141" s="26"/>
      <c r="F141" s="26"/>
      <c r="G141" s="27"/>
      <c r="H141" s="28" t="n">
        <f aca="false">IF(AND(ISNUMBER(D141),ISNUMBER(E141)),D141*E141,0)</f>
        <v>0</v>
      </c>
      <c r="I141" s="29" t="n">
        <f aca="false">IF(AND(ISNUMBER(D141),ISNUMBER(E141),E141&gt;0),ROUND(D141*(1+E141/30),1),0)</f>
        <v>0</v>
      </c>
    </row>
    <row r="142" customFormat="false" ht="15" hidden="false" customHeight="true" outlineLevel="0" collapsed="false">
      <c r="A142" s="25"/>
      <c r="B142" s="26"/>
      <c r="C142" s="27"/>
      <c r="D142" s="26"/>
      <c r="E142" s="26"/>
      <c r="F142" s="26"/>
      <c r="G142" s="27"/>
      <c r="H142" s="28" t="n">
        <f aca="false">IF(AND(ISNUMBER(D142),ISNUMBER(E142)),D142*E142,0)</f>
        <v>0</v>
      </c>
      <c r="I142" s="29" t="n">
        <f aca="false">IF(AND(ISNUMBER(D142),ISNUMBER(E142),E142&gt;0),ROUND(D142*(1+E142/30),1),0)</f>
        <v>0</v>
      </c>
    </row>
    <row r="143" customFormat="false" ht="15" hidden="false" customHeight="true" outlineLevel="0" collapsed="false">
      <c r="A143" s="25"/>
      <c r="B143" s="26"/>
      <c r="C143" s="27"/>
      <c r="D143" s="26"/>
      <c r="E143" s="26"/>
      <c r="F143" s="26"/>
      <c r="G143" s="27"/>
      <c r="H143" s="28" t="n">
        <f aca="false">IF(AND(ISNUMBER(D143),ISNUMBER(E143)),D143*E143,0)</f>
        <v>0</v>
      </c>
      <c r="I143" s="29" t="n">
        <f aca="false">IF(AND(ISNUMBER(D143),ISNUMBER(E143),E143&gt;0),ROUND(D143*(1+E143/30),1),0)</f>
        <v>0</v>
      </c>
    </row>
    <row r="144" customFormat="false" ht="15" hidden="false" customHeight="true" outlineLevel="0" collapsed="false">
      <c r="A144" s="25"/>
      <c r="B144" s="26"/>
      <c r="C144" s="27"/>
      <c r="D144" s="26"/>
      <c r="E144" s="26"/>
      <c r="F144" s="26"/>
      <c r="G144" s="27"/>
      <c r="H144" s="28" t="n">
        <f aca="false">IF(AND(ISNUMBER(D144),ISNUMBER(E144)),D144*E144,0)</f>
        <v>0</v>
      </c>
      <c r="I144" s="29" t="n">
        <f aca="false">IF(AND(ISNUMBER(D144),ISNUMBER(E144),E144&gt;0),ROUND(D144*(1+E144/30),1),0)</f>
        <v>0</v>
      </c>
    </row>
    <row r="145" customFormat="false" ht="15" hidden="false" customHeight="true" outlineLevel="0" collapsed="false">
      <c r="A145" s="25"/>
      <c r="B145" s="26"/>
      <c r="C145" s="27"/>
      <c r="D145" s="26"/>
      <c r="E145" s="26"/>
      <c r="F145" s="26"/>
      <c r="G145" s="27"/>
      <c r="H145" s="28" t="n">
        <f aca="false">IF(AND(ISNUMBER(D145),ISNUMBER(E145)),D145*E145,0)</f>
        <v>0</v>
      </c>
      <c r="I145" s="29" t="n">
        <f aca="false">IF(AND(ISNUMBER(D145),ISNUMBER(E145),E145&gt;0),ROUND(D145*(1+E145/30),1),0)</f>
        <v>0</v>
      </c>
    </row>
    <row r="146" customFormat="false" ht="15" hidden="false" customHeight="true" outlineLevel="0" collapsed="false">
      <c r="A146" s="25"/>
      <c r="B146" s="26"/>
      <c r="C146" s="27"/>
      <c r="D146" s="26"/>
      <c r="E146" s="26"/>
      <c r="F146" s="26"/>
      <c r="G146" s="27"/>
      <c r="H146" s="28" t="n">
        <f aca="false">IF(AND(ISNUMBER(D146),ISNUMBER(E146)),D146*E146,0)</f>
        <v>0</v>
      </c>
      <c r="I146" s="29" t="n">
        <f aca="false">IF(AND(ISNUMBER(D146),ISNUMBER(E146),E146&gt;0),ROUND(D146*(1+E146/30),1),0)</f>
        <v>0</v>
      </c>
    </row>
    <row r="147" customFormat="false" ht="15" hidden="false" customHeight="true" outlineLevel="0" collapsed="false">
      <c r="A147" s="25"/>
      <c r="B147" s="26"/>
      <c r="C147" s="27"/>
      <c r="D147" s="26"/>
      <c r="E147" s="26"/>
      <c r="F147" s="26"/>
      <c r="G147" s="27"/>
      <c r="H147" s="28" t="n">
        <f aca="false">IF(AND(ISNUMBER(D147),ISNUMBER(E147)),D147*E147,0)</f>
        <v>0</v>
      </c>
      <c r="I147" s="29" t="n">
        <f aca="false">IF(AND(ISNUMBER(D147),ISNUMBER(E147),E147&gt;0),ROUND(D147*(1+E147/30),1),0)</f>
        <v>0</v>
      </c>
    </row>
    <row r="148" customFormat="false" ht="15" hidden="false" customHeight="true" outlineLevel="0" collapsed="false">
      <c r="A148" s="25"/>
      <c r="B148" s="26"/>
      <c r="C148" s="27"/>
      <c r="D148" s="26"/>
      <c r="E148" s="26"/>
      <c r="F148" s="26"/>
      <c r="G148" s="27"/>
      <c r="H148" s="28" t="n">
        <f aca="false">IF(AND(ISNUMBER(D148),ISNUMBER(E148)),D148*E148,0)</f>
        <v>0</v>
      </c>
      <c r="I148" s="29" t="n">
        <f aca="false">IF(AND(ISNUMBER(D148),ISNUMBER(E148),E148&gt;0),ROUND(D148*(1+E148/30),1),0)</f>
        <v>0</v>
      </c>
    </row>
    <row r="149" customFormat="false" ht="15" hidden="false" customHeight="true" outlineLevel="0" collapsed="false">
      <c r="A149" s="25"/>
      <c r="B149" s="26"/>
      <c r="C149" s="27"/>
      <c r="D149" s="26"/>
      <c r="E149" s="26"/>
      <c r="F149" s="26"/>
      <c r="G149" s="27"/>
      <c r="H149" s="28" t="n">
        <f aca="false">IF(AND(ISNUMBER(D149),ISNUMBER(E149)),D149*E149,0)</f>
        <v>0</v>
      </c>
      <c r="I149" s="29" t="n">
        <f aca="false">IF(AND(ISNUMBER(D149),ISNUMBER(E149),E149&gt;0),ROUND(D149*(1+E149/30),1),0)</f>
        <v>0</v>
      </c>
    </row>
    <row r="150" customFormat="false" ht="15" hidden="false" customHeight="true" outlineLevel="0" collapsed="false">
      <c r="A150" s="25"/>
      <c r="B150" s="26"/>
      <c r="C150" s="27"/>
      <c r="D150" s="26"/>
      <c r="E150" s="26"/>
      <c r="F150" s="26"/>
      <c r="G150" s="27"/>
      <c r="H150" s="28" t="n">
        <f aca="false">IF(AND(ISNUMBER(D150),ISNUMBER(E150)),D150*E150,0)</f>
        <v>0</v>
      </c>
      <c r="I150" s="29" t="n">
        <f aca="false">IF(AND(ISNUMBER(D150),ISNUMBER(E150),E150&gt;0),ROUND(D150*(1+E150/30),1),0)</f>
        <v>0</v>
      </c>
    </row>
    <row r="151" customFormat="false" ht="15" hidden="false" customHeight="true" outlineLevel="0" collapsed="false">
      <c r="A151" s="25"/>
      <c r="B151" s="26"/>
      <c r="C151" s="27"/>
      <c r="D151" s="26"/>
      <c r="E151" s="26"/>
      <c r="F151" s="26"/>
      <c r="G151" s="27"/>
      <c r="H151" s="28" t="n">
        <f aca="false">IF(AND(ISNUMBER(D151),ISNUMBER(E151)),D151*E151,0)</f>
        <v>0</v>
      </c>
      <c r="I151" s="29" t="n">
        <f aca="false">IF(AND(ISNUMBER(D151),ISNUMBER(E151),E151&gt;0),ROUND(D151*(1+E151/30),1),0)</f>
        <v>0</v>
      </c>
    </row>
    <row r="152" customFormat="false" ht="15" hidden="false" customHeight="true" outlineLevel="0" collapsed="false">
      <c r="A152" s="25"/>
      <c r="B152" s="26"/>
      <c r="C152" s="27"/>
      <c r="D152" s="26"/>
      <c r="E152" s="26"/>
      <c r="F152" s="26"/>
      <c r="G152" s="27"/>
      <c r="H152" s="28" t="n">
        <f aca="false">IF(AND(ISNUMBER(D152),ISNUMBER(E152)),D152*E152,0)</f>
        <v>0</v>
      </c>
      <c r="I152" s="29" t="n">
        <f aca="false">IF(AND(ISNUMBER(D152),ISNUMBER(E152),E152&gt;0),ROUND(D152*(1+E152/30),1),0)</f>
        <v>0</v>
      </c>
    </row>
    <row r="153" customFormat="false" ht="15" hidden="false" customHeight="true" outlineLevel="0" collapsed="false">
      <c r="A153" s="25"/>
      <c r="B153" s="26"/>
      <c r="C153" s="27"/>
      <c r="D153" s="26"/>
      <c r="E153" s="26"/>
      <c r="F153" s="26"/>
      <c r="G153" s="27"/>
      <c r="H153" s="28" t="n">
        <f aca="false">IF(AND(ISNUMBER(D153),ISNUMBER(E153)),D153*E153,0)</f>
        <v>0</v>
      </c>
      <c r="I153" s="29" t="n">
        <f aca="false">IF(AND(ISNUMBER(D153),ISNUMBER(E153),E153&gt;0),ROUND(D153*(1+E153/30),1),0)</f>
        <v>0</v>
      </c>
    </row>
    <row r="154" customFormat="false" ht="15" hidden="false" customHeight="true" outlineLevel="0" collapsed="false">
      <c r="A154" s="25"/>
      <c r="B154" s="26"/>
      <c r="C154" s="27"/>
      <c r="D154" s="26"/>
      <c r="E154" s="26"/>
      <c r="F154" s="26"/>
      <c r="G154" s="27"/>
      <c r="H154" s="28" t="n">
        <f aca="false">IF(AND(ISNUMBER(D154),ISNUMBER(E154)),D154*E154,0)</f>
        <v>0</v>
      </c>
      <c r="I154" s="29" t="n">
        <f aca="false">IF(AND(ISNUMBER(D154),ISNUMBER(E154),E154&gt;0),ROUND(D154*(1+E154/30),1),0)</f>
        <v>0</v>
      </c>
    </row>
    <row r="155" customFormat="false" ht="15" hidden="false" customHeight="true" outlineLevel="0" collapsed="false">
      <c r="A155" s="25"/>
      <c r="B155" s="26"/>
      <c r="C155" s="27"/>
      <c r="D155" s="26"/>
      <c r="E155" s="26"/>
      <c r="F155" s="26"/>
      <c r="G155" s="27"/>
      <c r="H155" s="28" t="n">
        <f aca="false">IF(AND(ISNUMBER(D155),ISNUMBER(E155)),D155*E155,0)</f>
        <v>0</v>
      </c>
      <c r="I155" s="29" t="n">
        <f aca="false">IF(AND(ISNUMBER(D155),ISNUMBER(E155),E155&gt;0),ROUND(D155*(1+E155/30),1),0)</f>
        <v>0</v>
      </c>
    </row>
    <row r="156" customFormat="false" ht="15" hidden="false" customHeight="true" outlineLevel="0" collapsed="false">
      <c r="A156" s="25"/>
      <c r="B156" s="26"/>
      <c r="C156" s="27"/>
      <c r="D156" s="26"/>
      <c r="E156" s="26"/>
      <c r="F156" s="26"/>
      <c r="G156" s="27"/>
      <c r="H156" s="28" t="n">
        <f aca="false">IF(AND(ISNUMBER(D156),ISNUMBER(E156)),D156*E156,0)</f>
        <v>0</v>
      </c>
      <c r="I156" s="29" t="n">
        <f aca="false">IF(AND(ISNUMBER(D156),ISNUMBER(E156),E156&gt;0),ROUND(D156*(1+E156/30),1),0)</f>
        <v>0</v>
      </c>
    </row>
    <row r="157" customFormat="false" ht="15" hidden="false" customHeight="true" outlineLevel="0" collapsed="false">
      <c r="A157" s="25"/>
      <c r="B157" s="26"/>
      <c r="C157" s="27"/>
      <c r="D157" s="26"/>
      <c r="E157" s="26"/>
      <c r="F157" s="26"/>
      <c r="G157" s="27"/>
      <c r="H157" s="28" t="n">
        <f aca="false">IF(AND(ISNUMBER(D157),ISNUMBER(E157)),D157*E157,0)</f>
        <v>0</v>
      </c>
      <c r="I157" s="29" t="n">
        <f aca="false">IF(AND(ISNUMBER(D157),ISNUMBER(E157),E157&gt;0),ROUND(D157*(1+E157/30),1),0)</f>
        <v>0</v>
      </c>
    </row>
    <row r="158" customFormat="false" ht="15" hidden="false" customHeight="true" outlineLevel="0" collapsed="false">
      <c r="A158" s="25"/>
      <c r="B158" s="26"/>
      <c r="C158" s="27"/>
      <c r="D158" s="26"/>
      <c r="E158" s="26"/>
      <c r="F158" s="26"/>
      <c r="G158" s="27"/>
      <c r="H158" s="28" t="n">
        <f aca="false">IF(AND(ISNUMBER(D158),ISNUMBER(E158)),D158*E158,0)</f>
        <v>0</v>
      </c>
      <c r="I158" s="29" t="n">
        <f aca="false">IF(AND(ISNUMBER(D158),ISNUMBER(E158),E158&gt;0),ROUND(D158*(1+E158/30),1),0)</f>
        <v>0</v>
      </c>
    </row>
    <row r="159" customFormat="false" ht="15" hidden="false" customHeight="true" outlineLevel="0" collapsed="false">
      <c r="A159" s="25"/>
      <c r="B159" s="26"/>
      <c r="C159" s="27"/>
      <c r="D159" s="26"/>
      <c r="E159" s="26"/>
      <c r="F159" s="26"/>
      <c r="G159" s="27"/>
      <c r="H159" s="28" t="n">
        <f aca="false">IF(AND(ISNUMBER(D159),ISNUMBER(E159)),D159*E159,0)</f>
        <v>0</v>
      </c>
      <c r="I159" s="29" t="n">
        <f aca="false">IF(AND(ISNUMBER(D159),ISNUMBER(E159),E159&gt;0),ROUND(D159*(1+E159/30),1),0)</f>
        <v>0</v>
      </c>
    </row>
    <row r="160" customFormat="false" ht="15" hidden="false" customHeight="true" outlineLevel="0" collapsed="false">
      <c r="A160" s="25"/>
      <c r="B160" s="26"/>
      <c r="C160" s="27"/>
      <c r="D160" s="26"/>
      <c r="E160" s="26"/>
      <c r="F160" s="26"/>
      <c r="G160" s="27"/>
      <c r="H160" s="28" t="n">
        <f aca="false">IF(AND(ISNUMBER(D160),ISNUMBER(E160)),D160*E160,0)</f>
        <v>0</v>
      </c>
      <c r="I160" s="29" t="n">
        <f aca="false">IF(AND(ISNUMBER(D160),ISNUMBER(E160),E160&gt;0),ROUND(D160*(1+E160/30),1),0)</f>
        <v>0</v>
      </c>
    </row>
    <row r="161" customFormat="false" ht="15" hidden="false" customHeight="true" outlineLevel="0" collapsed="false">
      <c r="A161" s="25"/>
      <c r="B161" s="26"/>
      <c r="C161" s="27"/>
      <c r="D161" s="26"/>
      <c r="E161" s="26"/>
      <c r="F161" s="26"/>
      <c r="G161" s="27"/>
      <c r="H161" s="28" t="n">
        <f aca="false">IF(AND(ISNUMBER(D161),ISNUMBER(E161)),D161*E161,0)</f>
        <v>0</v>
      </c>
      <c r="I161" s="29" t="n">
        <f aca="false">IF(AND(ISNUMBER(D161),ISNUMBER(E161),E161&gt;0),ROUND(D161*(1+E161/30),1),0)</f>
        <v>0</v>
      </c>
    </row>
    <row r="162" customFormat="false" ht="15" hidden="false" customHeight="true" outlineLevel="0" collapsed="false">
      <c r="A162" s="25"/>
      <c r="B162" s="26"/>
      <c r="C162" s="27"/>
      <c r="D162" s="26"/>
      <c r="E162" s="26"/>
      <c r="F162" s="26"/>
      <c r="G162" s="27"/>
      <c r="H162" s="28" t="n">
        <f aca="false">IF(AND(ISNUMBER(D162),ISNUMBER(E162)),D162*E162,0)</f>
        <v>0</v>
      </c>
      <c r="I162" s="29" t="n">
        <f aca="false">IF(AND(ISNUMBER(D162),ISNUMBER(E162),E162&gt;0),ROUND(D162*(1+E162/30),1),0)</f>
        <v>0</v>
      </c>
    </row>
    <row r="163" customFormat="false" ht="15" hidden="false" customHeight="true" outlineLevel="0" collapsed="false">
      <c r="A163" s="25"/>
      <c r="B163" s="26"/>
      <c r="C163" s="27"/>
      <c r="D163" s="26"/>
      <c r="E163" s="26"/>
      <c r="F163" s="26"/>
      <c r="G163" s="27"/>
      <c r="H163" s="28" t="n">
        <f aca="false">IF(AND(ISNUMBER(D163),ISNUMBER(E163)),D163*E163,0)</f>
        <v>0</v>
      </c>
      <c r="I163" s="29" t="n">
        <f aca="false">IF(AND(ISNUMBER(D163),ISNUMBER(E163),E163&gt;0),ROUND(D163*(1+E163/30),1),0)</f>
        <v>0</v>
      </c>
    </row>
    <row r="164" customFormat="false" ht="15" hidden="false" customHeight="true" outlineLevel="0" collapsed="false">
      <c r="A164" s="25"/>
      <c r="B164" s="26"/>
      <c r="C164" s="27"/>
      <c r="D164" s="26"/>
      <c r="E164" s="26"/>
      <c r="F164" s="26"/>
      <c r="G164" s="27"/>
      <c r="H164" s="28" t="n">
        <f aca="false">IF(AND(ISNUMBER(D164),ISNUMBER(E164)),D164*E164,0)</f>
        <v>0</v>
      </c>
      <c r="I164" s="29" t="n">
        <f aca="false">IF(AND(ISNUMBER(D164),ISNUMBER(E164),E164&gt;0),ROUND(D164*(1+E164/30),1),0)</f>
        <v>0</v>
      </c>
    </row>
    <row r="165" customFormat="false" ht="15" hidden="false" customHeight="true" outlineLevel="0" collapsed="false">
      <c r="A165" s="25"/>
      <c r="B165" s="26"/>
      <c r="C165" s="27"/>
      <c r="D165" s="26"/>
      <c r="E165" s="26"/>
      <c r="F165" s="26"/>
      <c r="G165" s="27"/>
      <c r="H165" s="28" t="n">
        <f aca="false">IF(AND(ISNUMBER(D165),ISNUMBER(E165)),D165*E165,0)</f>
        <v>0</v>
      </c>
      <c r="I165" s="29" t="n">
        <f aca="false">IF(AND(ISNUMBER(D165),ISNUMBER(E165),E165&gt;0),ROUND(D165*(1+E165/30),1),0)</f>
        <v>0</v>
      </c>
    </row>
    <row r="166" customFormat="false" ht="15" hidden="false" customHeight="true" outlineLevel="0" collapsed="false">
      <c r="A166" s="25"/>
      <c r="B166" s="26"/>
      <c r="C166" s="27"/>
      <c r="D166" s="26"/>
      <c r="E166" s="26"/>
      <c r="F166" s="26"/>
      <c r="G166" s="27"/>
      <c r="H166" s="28" t="n">
        <f aca="false">IF(AND(ISNUMBER(D166),ISNUMBER(E166)),D166*E166,0)</f>
        <v>0</v>
      </c>
      <c r="I166" s="29" t="n">
        <f aca="false">IF(AND(ISNUMBER(D166),ISNUMBER(E166),E166&gt;0),ROUND(D166*(1+E166/30),1),0)</f>
        <v>0</v>
      </c>
    </row>
    <row r="167" customFormat="false" ht="15" hidden="false" customHeight="true" outlineLevel="0" collapsed="false">
      <c r="A167" s="25"/>
      <c r="B167" s="26"/>
      <c r="C167" s="27"/>
      <c r="D167" s="26"/>
      <c r="E167" s="26"/>
      <c r="F167" s="26"/>
      <c r="G167" s="27"/>
      <c r="H167" s="28" t="n">
        <f aca="false">IF(AND(ISNUMBER(D167),ISNUMBER(E167)),D167*E167,0)</f>
        <v>0</v>
      </c>
      <c r="I167" s="29" t="n">
        <f aca="false">IF(AND(ISNUMBER(D167),ISNUMBER(E167),E167&gt;0),ROUND(D167*(1+E167/30),1),0)</f>
        <v>0</v>
      </c>
    </row>
    <row r="168" customFormat="false" ht="15" hidden="false" customHeight="true" outlineLevel="0" collapsed="false">
      <c r="A168" s="25"/>
      <c r="B168" s="26"/>
      <c r="C168" s="27"/>
      <c r="D168" s="26"/>
      <c r="E168" s="26"/>
      <c r="F168" s="26"/>
      <c r="G168" s="27"/>
      <c r="H168" s="28" t="n">
        <f aca="false">IF(AND(ISNUMBER(D168),ISNUMBER(E168)),D168*E168,0)</f>
        <v>0</v>
      </c>
      <c r="I168" s="29" t="n">
        <f aca="false">IF(AND(ISNUMBER(D168),ISNUMBER(E168),E168&gt;0),ROUND(D168*(1+E168/30),1),0)</f>
        <v>0</v>
      </c>
    </row>
    <row r="169" customFormat="false" ht="15" hidden="false" customHeight="true" outlineLevel="0" collapsed="false">
      <c r="A169" s="25"/>
      <c r="B169" s="26"/>
      <c r="C169" s="27"/>
      <c r="D169" s="26"/>
      <c r="E169" s="26"/>
      <c r="F169" s="26"/>
      <c r="G169" s="27"/>
      <c r="H169" s="28" t="n">
        <f aca="false">IF(AND(ISNUMBER(D169),ISNUMBER(E169)),D169*E169,0)</f>
        <v>0</v>
      </c>
      <c r="I169" s="29" t="n">
        <f aca="false">IF(AND(ISNUMBER(D169),ISNUMBER(E169),E169&gt;0),ROUND(D169*(1+E169/30),1),0)</f>
        <v>0</v>
      </c>
    </row>
    <row r="170" customFormat="false" ht="15" hidden="false" customHeight="true" outlineLevel="0" collapsed="false">
      <c r="A170" s="25"/>
      <c r="B170" s="26"/>
      <c r="C170" s="27"/>
      <c r="D170" s="26"/>
      <c r="E170" s="26"/>
      <c r="F170" s="26"/>
      <c r="G170" s="27"/>
      <c r="H170" s="28" t="n">
        <f aca="false">IF(AND(ISNUMBER(D170),ISNUMBER(E170)),D170*E170,0)</f>
        <v>0</v>
      </c>
      <c r="I170" s="29" t="n">
        <f aca="false">IF(AND(ISNUMBER(D170),ISNUMBER(E170),E170&gt;0),ROUND(D170*(1+E170/30),1),0)</f>
        <v>0</v>
      </c>
    </row>
    <row r="171" customFormat="false" ht="15" hidden="false" customHeight="true" outlineLevel="0" collapsed="false">
      <c r="A171" s="25"/>
      <c r="B171" s="26"/>
      <c r="C171" s="27"/>
      <c r="D171" s="26"/>
      <c r="E171" s="26"/>
      <c r="F171" s="26"/>
      <c r="G171" s="27"/>
      <c r="H171" s="28" t="n">
        <f aca="false">IF(AND(ISNUMBER(D171),ISNUMBER(E171)),D171*E171,0)</f>
        <v>0</v>
      </c>
      <c r="I171" s="29" t="n">
        <f aca="false">IF(AND(ISNUMBER(D171),ISNUMBER(E171),E171&gt;0),ROUND(D171*(1+E171/30),1),0)</f>
        <v>0</v>
      </c>
    </row>
    <row r="172" customFormat="false" ht="15" hidden="false" customHeight="true" outlineLevel="0" collapsed="false">
      <c r="A172" s="25"/>
      <c r="B172" s="26"/>
      <c r="C172" s="27"/>
      <c r="D172" s="26"/>
      <c r="E172" s="26"/>
      <c r="F172" s="26"/>
      <c r="G172" s="27"/>
      <c r="H172" s="28" t="n">
        <f aca="false">IF(AND(ISNUMBER(D172),ISNUMBER(E172)),D172*E172,0)</f>
        <v>0</v>
      </c>
      <c r="I172" s="29" t="n">
        <f aca="false">IF(AND(ISNUMBER(D172),ISNUMBER(E172),E172&gt;0),ROUND(D172*(1+E172/30),1),0)</f>
        <v>0</v>
      </c>
    </row>
    <row r="173" customFormat="false" ht="15" hidden="false" customHeight="true" outlineLevel="0" collapsed="false">
      <c r="A173" s="25"/>
      <c r="B173" s="26"/>
      <c r="C173" s="27"/>
      <c r="D173" s="26"/>
      <c r="E173" s="26"/>
      <c r="F173" s="26"/>
      <c r="G173" s="27"/>
      <c r="H173" s="28" t="n">
        <f aca="false">IF(AND(ISNUMBER(D173),ISNUMBER(E173)),D173*E173,0)</f>
        <v>0</v>
      </c>
      <c r="I173" s="29" t="n">
        <f aca="false">IF(AND(ISNUMBER(D173),ISNUMBER(E173),E173&gt;0),ROUND(D173*(1+E173/30),1),0)</f>
        <v>0</v>
      </c>
    </row>
    <row r="174" customFormat="false" ht="15" hidden="false" customHeight="true" outlineLevel="0" collapsed="false">
      <c r="A174" s="25"/>
      <c r="B174" s="26"/>
      <c r="C174" s="27"/>
      <c r="D174" s="26"/>
      <c r="E174" s="26"/>
      <c r="F174" s="26"/>
      <c r="G174" s="27"/>
      <c r="H174" s="28" t="n">
        <f aca="false">IF(AND(ISNUMBER(D174),ISNUMBER(E174)),D174*E174,0)</f>
        <v>0</v>
      </c>
      <c r="I174" s="29" t="n">
        <f aca="false">IF(AND(ISNUMBER(D174),ISNUMBER(E174),E174&gt;0),ROUND(D174*(1+E174/30),1),0)</f>
        <v>0</v>
      </c>
    </row>
    <row r="175" customFormat="false" ht="15" hidden="false" customHeight="true" outlineLevel="0" collapsed="false">
      <c r="A175" s="25"/>
      <c r="B175" s="26"/>
      <c r="C175" s="27"/>
      <c r="D175" s="26"/>
      <c r="E175" s="26"/>
      <c r="F175" s="26"/>
      <c r="G175" s="27"/>
      <c r="H175" s="28" t="n">
        <f aca="false">IF(AND(ISNUMBER(D175),ISNUMBER(E175)),D175*E175,0)</f>
        <v>0</v>
      </c>
      <c r="I175" s="29" t="n">
        <f aca="false">IF(AND(ISNUMBER(D175),ISNUMBER(E175),E175&gt;0),ROUND(D175*(1+E175/30),1),0)</f>
        <v>0</v>
      </c>
    </row>
    <row r="176" customFormat="false" ht="15" hidden="false" customHeight="true" outlineLevel="0" collapsed="false">
      <c r="A176" s="25"/>
      <c r="B176" s="26"/>
      <c r="C176" s="27"/>
      <c r="D176" s="26"/>
      <c r="E176" s="26"/>
      <c r="F176" s="26"/>
      <c r="G176" s="27"/>
      <c r="H176" s="28" t="n">
        <f aca="false">IF(AND(ISNUMBER(D176),ISNUMBER(E176)),D176*E176,0)</f>
        <v>0</v>
      </c>
      <c r="I176" s="29" t="n">
        <f aca="false">IF(AND(ISNUMBER(D176),ISNUMBER(E176),E176&gt;0),ROUND(D176*(1+E176/30),1),0)</f>
        <v>0</v>
      </c>
    </row>
    <row r="177" customFormat="false" ht="15" hidden="false" customHeight="true" outlineLevel="0" collapsed="false">
      <c r="A177" s="25"/>
      <c r="B177" s="26"/>
      <c r="C177" s="27"/>
      <c r="D177" s="26"/>
      <c r="E177" s="26"/>
      <c r="F177" s="26"/>
      <c r="G177" s="27"/>
      <c r="H177" s="28" t="n">
        <f aca="false">IF(AND(ISNUMBER(D177),ISNUMBER(E177)),D177*E177,0)</f>
        <v>0</v>
      </c>
      <c r="I177" s="29" t="n">
        <f aca="false">IF(AND(ISNUMBER(D177),ISNUMBER(E177),E177&gt;0),ROUND(D177*(1+E177/30),1),0)</f>
        <v>0</v>
      </c>
    </row>
    <row r="178" customFormat="false" ht="15" hidden="false" customHeight="true" outlineLevel="0" collapsed="false">
      <c r="A178" s="25"/>
      <c r="B178" s="26"/>
      <c r="C178" s="27"/>
      <c r="D178" s="26"/>
      <c r="E178" s="26"/>
      <c r="F178" s="26"/>
      <c r="G178" s="27"/>
      <c r="H178" s="28" t="n">
        <f aca="false">IF(AND(ISNUMBER(D178),ISNUMBER(E178)),D178*E178,0)</f>
        <v>0</v>
      </c>
      <c r="I178" s="29" t="n">
        <f aca="false">IF(AND(ISNUMBER(D178),ISNUMBER(E178),E178&gt;0),ROUND(D178*(1+E178/30),1),0)</f>
        <v>0</v>
      </c>
    </row>
    <row r="179" customFormat="false" ht="15" hidden="false" customHeight="true" outlineLevel="0" collapsed="false">
      <c r="A179" s="25"/>
      <c r="B179" s="26"/>
      <c r="C179" s="27"/>
      <c r="D179" s="26"/>
      <c r="E179" s="26"/>
      <c r="F179" s="26"/>
      <c r="G179" s="27"/>
      <c r="H179" s="28" t="n">
        <f aca="false">IF(AND(ISNUMBER(D179),ISNUMBER(E179)),D179*E179,0)</f>
        <v>0</v>
      </c>
      <c r="I179" s="29" t="n">
        <f aca="false">IF(AND(ISNUMBER(D179),ISNUMBER(E179),E179&gt;0),ROUND(D179*(1+E179/30),1),0)</f>
        <v>0</v>
      </c>
    </row>
    <row r="180" customFormat="false" ht="15" hidden="false" customHeight="true" outlineLevel="0" collapsed="false">
      <c r="A180" s="25"/>
      <c r="B180" s="26"/>
      <c r="C180" s="27"/>
      <c r="D180" s="26"/>
      <c r="E180" s="26"/>
      <c r="F180" s="26"/>
      <c r="G180" s="27"/>
      <c r="H180" s="28" t="n">
        <f aca="false">IF(AND(ISNUMBER(D180),ISNUMBER(E180)),D180*E180,0)</f>
        <v>0</v>
      </c>
      <c r="I180" s="29" t="n">
        <f aca="false">IF(AND(ISNUMBER(D180),ISNUMBER(E180),E180&gt;0),ROUND(D180*(1+E180/30),1),0)</f>
        <v>0</v>
      </c>
    </row>
    <row r="181" customFormat="false" ht="15" hidden="false" customHeight="true" outlineLevel="0" collapsed="false">
      <c r="A181" s="25"/>
      <c r="B181" s="26"/>
      <c r="C181" s="27"/>
      <c r="D181" s="26"/>
      <c r="E181" s="26"/>
      <c r="F181" s="26"/>
      <c r="G181" s="27"/>
      <c r="H181" s="28" t="n">
        <f aca="false">IF(AND(ISNUMBER(D181),ISNUMBER(E181)),D181*E181,0)</f>
        <v>0</v>
      </c>
      <c r="I181" s="29" t="n">
        <f aca="false">IF(AND(ISNUMBER(D181),ISNUMBER(E181),E181&gt;0),ROUND(D181*(1+E181/30),1),0)</f>
        <v>0</v>
      </c>
    </row>
    <row r="182" customFormat="false" ht="15" hidden="false" customHeight="true" outlineLevel="0" collapsed="false">
      <c r="A182" s="25"/>
      <c r="B182" s="26"/>
      <c r="C182" s="27"/>
      <c r="D182" s="26"/>
      <c r="E182" s="26"/>
      <c r="F182" s="26"/>
      <c r="G182" s="27"/>
      <c r="H182" s="28" t="n">
        <f aca="false">IF(AND(ISNUMBER(D182),ISNUMBER(E182)),D182*E182,0)</f>
        <v>0</v>
      </c>
      <c r="I182" s="29" t="n">
        <f aca="false">IF(AND(ISNUMBER(D182),ISNUMBER(E182),E182&gt;0),ROUND(D182*(1+E182/30),1),0)</f>
        <v>0</v>
      </c>
    </row>
    <row r="183" customFormat="false" ht="15" hidden="false" customHeight="true" outlineLevel="0" collapsed="false">
      <c r="A183" s="25"/>
      <c r="B183" s="26"/>
      <c r="C183" s="27"/>
      <c r="D183" s="26"/>
      <c r="E183" s="26"/>
      <c r="F183" s="26"/>
      <c r="G183" s="27"/>
      <c r="H183" s="28" t="n">
        <f aca="false">IF(AND(ISNUMBER(D183),ISNUMBER(E183)),D183*E183,0)</f>
        <v>0</v>
      </c>
      <c r="I183" s="29" t="n">
        <f aca="false">IF(AND(ISNUMBER(D183),ISNUMBER(E183),E183&gt;0),ROUND(D183*(1+E183/30),1),0)</f>
        <v>0</v>
      </c>
    </row>
    <row r="184" customFormat="false" ht="15" hidden="false" customHeight="true" outlineLevel="0" collapsed="false">
      <c r="A184" s="25"/>
      <c r="B184" s="26"/>
      <c r="C184" s="27"/>
      <c r="D184" s="26"/>
      <c r="E184" s="26"/>
      <c r="F184" s="26"/>
      <c r="G184" s="27"/>
      <c r="H184" s="28" t="n">
        <f aca="false">IF(AND(ISNUMBER(D184),ISNUMBER(E184)),D184*E184,0)</f>
        <v>0</v>
      </c>
      <c r="I184" s="29" t="n">
        <f aca="false">IF(AND(ISNUMBER(D184),ISNUMBER(E184),E184&gt;0),ROUND(D184*(1+E184/30),1),0)</f>
        <v>0</v>
      </c>
    </row>
    <row r="185" customFormat="false" ht="15" hidden="false" customHeight="true" outlineLevel="0" collapsed="false">
      <c r="A185" s="25"/>
      <c r="B185" s="26"/>
      <c r="C185" s="27"/>
      <c r="D185" s="26"/>
      <c r="E185" s="26"/>
      <c r="F185" s="26"/>
      <c r="G185" s="27"/>
      <c r="H185" s="28" t="n">
        <f aca="false">IF(AND(ISNUMBER(D185),ISNUMBER(E185)),D185*E185,0)</f>
        <v>0</v>
      </c>
      <c r="I185" s="29" t="n">
        <f aca="false">IF(AND(ISNUMBER(D185),ISNUMBER(E185),E185&gt;0),ROUND(D185*(1+E185/30),1),0)</f>
        <v>0</v>
      </c>
    </row>
    <row r="186" customFormat="false" ht="15" hidden="false" customHeight="true" outlineLevel="0" collapsed="false">
      <c r="A186" s="25"/>
      <c r="B186" s="26"/>
      <c r="C186" s="27"/>
      <c r="D186" s="26"/>
      <c r="E186" s="26"/>
      <c r="F186" s="26"/>
      <c r="G186" s="27"/>
      <c r="H186" s="28" t="n">
        <f aca="false">IF(AND(ISNUMBER(D186),ISNUMBER(E186)),D186*E186,0)</f>
        <v>0</v>
      </c>
      <c r="I186" s="29" t="n">
        <f aca="false">IF(AND(ISNUMBER(D186),ISNUMBER(E186),E186&gt;0),ROUND(D186*(1+E186/30),1),0)</f>
        <v>0</v>
      </c>
    </row>
    <row r="187" customFormat="false" ht="15" hidden="false" customHeight="true" outlineLevel="0" collapsed="false">
      <c r="A187" s="25"/>
      <c r="B187" s="26"/>
      <c r="C187" s="27"/>
      <c r="D187" s="26"/>
      <c r="E187" s="26"/>
      <c r="F187" s="26"/>
      <c r="G187" s="27"/>
      <c r="H187" s="28" t="n">
        <f aca="false">IF(AND(ISNUMBER(D187),ISNUMBER(E187)),D187*E187,0)</f>
        <v>0</v>
      </c>
      <c r="I187" s="29" t="n">
        <f aca="false">IF(AND(ISNUMBER(D187),ISNUMBER(E187),E187&gt;0),ROUND(D187*(1+E187/30),1),0)</f>
        <v>0</v>
      </c>
    </row>
    <row r="188" customFormat="false" ht="15" hidden="false" customHeight="true" outlineLevel="0" collapsed="false">
      <c r="A188" s="25"/>
      <c r="B188" s="26"/>
      <c r="C188" s="27"/>
      <c r="D188" s="26"/>
      <c r="E188" s="26"/>
      <c r="F188" s="26"/>
      <c r="G188" s="27"/>
      <c r="H188" s="28" t="n">
        <f aca="false">IF(AND(ISNUMBER(D188),ISNUMBER(E188)),D188*E188,0)</f>
        <v>0</v>
      </c>
      <c r="I188" s="29" t="n">
        <f aca="false">IF(AND(ISNUMBER(D188),ISNUMBER(E188),E188&gt;0),ROUND(D188*(1+E188/30),1),0)</f>
        <v>0</v>
      </c>
    </row>
    <row r="189" customFormat="false" ht="15" hidden="false" customHeight="true" outlineLevel="0" collapsed="false">
      <c r="A189" s="25"/>
      <c r="B189" s="26"/>
      <c r="C189" s="27"/>
      <c r="D189" s="26"/>
      <c r="E189" s="26"/>
      <c r="F189" s="26"/>
      <c r="G189" s="27"/>
      <c r="H189" s="28" t="n">
        <f aca="false">IF(AND(ISNUMBER(D189),ISNUMBER(E189)),D189*E189,0)</f>
        <v>0</v>
      </c>
      <c r="I189" s="29" t="n">
        <f aca="false">IF(AND(ISNUMBER(D189),ISNUMBER(E189),E189&gt;0),ROUND(D189*(1+E189/30),1),0)</f>
        <v>0</v>
      </c>
    </row>
    <row r="190" customFormat="false" ht="15" hidden="false" customHeight="true" outlineLevel="0" collapsed="false">
      <c r="A190" s="25"/>
      <c r="B190" s="26"/>
      <c r="C190" s="27"/>
      <c r="D190" s="26"/>
      <c r="E190" s="26"/>
      <c r="F190" s="26"/>
      <c r="G190" s="27"/>
      <c r="H190" s="28" t="n">
        <f aca="false">IF(AND(ISNUMBER(D190),ISNUMBER(E190)),D190*E190,0)</f>
        <v>0</v>
      </c>
      <c r="I190" s="29" t="n">
        <f aca="false">IF(AND(ISNUMBER(D190),ISNUMBER(E190),E190&gt;0),ROUND(D190*(1+E190/30),1),0)</f>
        <v>0</v>
      </c>
    </row>
    <row r="191" customFormat="false" ht="15" hidden="false" customHeight="true" outlineLevel="0" collapsed="false">
      <c r="A191" s="25"/>
      <c r="B191" s="26"/>
      <c r="C191" s="27"/>
      <c r="D191" s="26"/>
      <c r="E191" s="26"/>
      <c r="F191" s="26"/>
      <c r="G191" s="27"/>
      <c r="H191" s="28" t="n">
        <f aca="false">IF(AND(ISNUMBER(D191),ISNUMBER(E191)),D191*E191,0)</f>
        <v>0</v>
      </c>
      <c r="I191" s="29" t="n">
        <f aca="false">IF(AND(ISNUMBER(D191),ISNUMBER(E191),E191&gt;0),ROUND(D191*(1+E191/30),1),0)</f>
        <v>0</v>
      </c>
    </row>
    <row r="192" customFormat="false" ht="15" hidden="false" customHeight="true" outlineLevel="0" collapsed="false">
      <c r="A192" s="25"/>
      <c r="B192" s="26"/>
      <c r="C192" s="27"/>
      <c r="D192" s="26"/>
      <c r="E192" s="26"/>
      <c r="F192" s="26"/>
      <c r="G192" s="27"/>
      <c r="H192" s="28" t="n">
        <f aca="false">IF(AND(ISNUMBER(D192),ISNUMBER(E192)),D192*E192,0)</f>
        <v>0</v>
      </c>
      <c r="I192" s="29" t="n">
        <f aca="false">IF(AND(ISNUMBER(D192),ISNUMBER(E192),E192&gt;0),ROUND(D192*(1+E192/30),1),0)</f>
        <v>0</v>
      </c>
    </row>
    <row r="193" customFormat="false" ht="15" hidden="false" customHeight="true" outlineLevel="0" collapsed="false">
      <c r="A193" s="25"/>
      <c r="B193" s="26"/>
      <c r="C193" s="27"/>
      <c r="D193" s="26"/>
      <c r="E193" s="26"/>
      <c r="F193" s="26"/>
      <c r="G193" s="27"/>
      <c r="H193" s="28" t="n">
        <f aca="false">IF(AND(ISNUMBER(D193),ISNUMBER(E193)),D193*E193,0)</f>
        <v>0</v>
      </c>
      <c r="I193" s="29" t="n">
        <f aca="false">IF(AND(ISNUMBER(D193),ISNUMBER(E193),E193&gt;0),ROUND(D193*(1+E193/30),1),0)</f>
        <v>0</v>
      </c>
    </row>
    <row r="194" customFormat="false" ht="15" hidden="false" customHeight="true" outlineLevel="0" collapsed="false">
      <c r="A194" s="25"/>
      <c r="B194" s="26"/>
      <c r="C194" s="27"/>
      <c r="D194" s="26"/>
      <c r="E194" s="26"/>
      <c r="F194" s="26"/>
      <c r="G194" s="27"/>
      <c r="H194" s="28" t="n">
        <f aca="false">IF(AND(ISNUMBER(D194),ISNUMBER(E194)),D194*E194,0)</f>
        <v>0</v>
      </c>
      <c r="I194" s="29" t="n">
        <f aca="false">IF(AND(ISNUMBER(D194),ISNUMBER(E194),E194&gt;0),ROUND(D194*(1+E194/30),1),0)</f>
        <v>0</v>
      </c>
    </row>
    <row r="195" customFormat="false" ht="15" hidden="false" customHeight="true" outlineLevel="0" collapsed="false">
      <c r="A195" s="25"/>
      <c r="B195" s="26"/>
      <c r="C195" s="27"/>
      <c r="D195" s="26"/>
      <c r="E195" s="26"/>
      <c r="F195" s="26"/>
      <c r="G195" s="27"/>
      <c r="H195" s="28" t="n">
        <f aca="false">IF(AND(ISNUMBER(D195),ISNUMBER(E195)),D195*E195,0)</f>
        <v>0</v>
      </c>
      <c r="I195" s="29" t="n">
        <f aca="false">IF(AND(ISNUMBER(D195),ISNUMBER(E195),E195&gt;0),ROUND(D195*(1+E195/30),1),0)</f>
        <v>0</v>
      </c>
    </row>
    <row r="196" customFormat="false" ht="15" hidden="false" customHeight="true" outlineLevel="0" collapsed="false">
      <c r="A196" s="25"/>
      <c r="B196" s="26"/>
      <c r="C196" s="27"/>
      <c r="D196" s="26"/>
      <c r="E196" s="26"/>
      <c r="F196" s="26"/>
      <c r="G196" s="27"/>
      <c r="H196" s="28" t="n">
        <f aca="false">IF(AND(ISNUMBER(D196),ISNUMBER(E196)),D196*E196,0)</f>
        <v>0</v>
      </c>
      <c r="I196" s="29" t="n">
        <f aca="false">IF(AND(ISNUMBER(D196),ISNUMBER(E196),E196&gt;0),ROUND(D196*(1+E196/30),1),0)</f>
        <v>0</v>
      </c>
    </row>
    <row r="197" customFormat="false" ht="15" hidden="false" customHeight="true" outlineLevel="0" collapsed="false">
      <c r="A197" s="25"/>
      <c r="B197" s="26"/>
      <c r="C197" s="27"/>
      <c r="D197" s="26"/>
      <c r="E197" s="26"/>
      <c r="F197" s="26"/>
      <c r="G197" s="27"/>
      <c r="H197" s="28" t="n">
        <f aca="false">IF(AND(ISNUMBER(D197),ISNUMBER(E197)),D197*E197,0)</f>
        <v>0</v>
      </c>
      <c r="I197" s="29" t="n">
        <f aca="false">IF(AND(ISNUMBER(D197),ISNUMBER(E197),E197&gt;0),ROUND(D197*(1+E197/30),1),0)</f>
        <v>0</v>
      </c>
    </row>
    <row r="198" customFormat="false" ht="15" hidden="false" customHeight="true" outlineLevel="0" collapsed="false">
      <c r="A198" s="25"/>
      <c r="B198" s="26"/>
      <c r="C198" s="27"/>
      <c r="D198" s="26"/>
      <c r="E198" s="26"/>
      <c r="F198" s="26"/>
      <c r="G198" s="27"/>
      <c r="H198" s="28" t="n">
        <f aca="false">IF(AND(ISNUMBER(D198),ISNUMBER(E198)),D198*E198,0)</f>
        <v>0</v>
      </c>
      <c r="I198" s="29" t="n">
        <f aca="false">IF(AND(ISNUMBER(D198),ISNUMBER(E198),E198&gt;0),ROUND(D198*(1+E198/30),1),0)</f>
        <v>0</v>
      </c>
    </row>
    <row r="199" customFormat="false" ht="15" hidden="false" customHeight="true" outlineLevel="0" collapsed="false">
      <c r="A199" s="25"/>
      <c r="B199" s="26"/>
      <c r="C199" s="27"/>
      <c r="D199" s="26"/>
      <c r="E199" s="26"/>
      <c r="F199" s="26"/>
      <c r="G199" s="27"/>
      <c r="H199" s="28" t="n">
        <f aca="false">IF(AND(ISNUMBER(D199),ISNUMBER(E199)),D199*E199,0)</f>
        <v>0</v>
      </c>
      <c r="I199" s="29" t="n">
        <f aca="false">IF(AND(ISNUMBER(D199),ISNUMBER(E199),E199&gt;0),ROUND(D199*(1+E199/30),1),0)</f>
        <v>0</v>
      </c>
    </row>
    <row r="200" customFormat="false" ht="15" hidden="false" customHeight="true" outlineLevel="0" collapsed="false">
      <c r="A200" s="25"/>
      <c r="B200" s="26"/>
      <c r="C200" s="27"/>
      <c r="D200" s="26"/>
      <c r="E200" s="26"/>
      <c r="F200" s="26"/>
      <c r="G200" s="27"/>
      <c r="H200" s="28" t="n">
        <f aca="false">IF(AND(ISNUMBER(D200),ISNUMBER(E200)),D200*E200,0)</f>
        <v>0</v>
      </c>
      <c r="I200" s="29" t="n">
        <f aca="false">IF(AND(ISNUMBER(D200),ISNUMBER(E200),E200&gt;0),ROUND(D200*(1+E200/30),1),0)</f>
        <v>0</v>
      </c>
    </row>
    <row r="201" customFormat="false" ht="15" hidden="false" customHeight="true" outlineLevel="0" collapsed="false">
      <c r="A201" s="25"/>
      <c r="B201" s="26"/>
      <c r="C201" s="27"/>
      <c r="D201" s="26"/>
      <c r="E201" s="26"/>
      <c r="F201" s="26"/>
      <c r="G201" s="27"/>
      <c r="H201" s="28" t="n">
        <f aca="false">IF(AND(ISNUMBER(D201),ISNUMBER(E201)),D201*E201,0)</f>
        <v>0</v>
      </c>
      <c r="I201" s="29" t="n">
        <f aca="false">IF(AND(ISNUMBER(D201),ISNUMBER(E201),E201&gt;0),ROUND(D201*(1+E201/30),1),0)</f>
        <v>0</v>
      </c>
    </row>
    <row r="202" customFormat="false" ht="15" hidden="false" customHeight="true" outlineLevel="0" collapsed="false">
      <c r="A202" s="25"/>
      <c r="B202" s="26"/>
      <c r="C202" s="27"/>
      <c r="D202" s="26"/>
      <c r="E202" s="26"/>
      <c r="F202" s="26"/>
      <c r="G202" s="27"/>
      <c r="H202" s="28" t="n">
        <f aca="false">IF(AND(ISNUMBER(D202),ISNUMBER(E202)),D202*E202,0)</f>
        <v>0</v>
      </c>
      <c r="I202" s="29" t="n">
        <f aca="false">IF(AND(ISNUMBER(D202),ISNUMBER(E202),E202&gt;0),ROUND(D202*(1+E202/30),1),0)</f>
        <v>0</v>
      </c>
    </row>
    <row r="203" customFormat="false" ht="15" hidden="false" customHeight="true" outlineLevel="0" collapsed="false">
      <c r="A203" s="25"/>
      <c r="B203" s="26"/>
      <c r="C203" s="27"/>
      <c r="D203" s="26"/>
      <c r="E203" s="26"/>
      <c r="F203" s="26"/>
      <c r="G203" s="27"/>
      <c r="H203" s="28" t="n">
        <f aca="false">IF(AND(ISNUMBER(D203),ISNUMBER(E203)),D203*E203,0)</f>
        <v>0</v>
      </c>
      <c r="I203" s="29" t="n">
        <f aca="false">IF(AND(ISNUMBER(D203),ISNUMBER(E203),E203&gt;0),ROUND(D203*(1+E203/30),1),0)</f>
        <v>0</v>
      </c>
    </row>
    <row r="204" customFormat="false" ht="15" hidden="false" customHeight="true" outlineLevel="0" collapsed="false">
      <c r="A204" s="25"/>
      <c r="B204" s="26"/>
      <c r="C204" s="27"/>
      <c r="D204" s="26"/>
      <c r="E204" s="26"/>
      <c r="F204" s="26"/>
      <c r="G204" s="27"/>
      <c r="H204" s="28" t="n">
        <f aca="false">IF(AND(ISNUMBER(D204),ISNUMBER(E204)),D204*E204,0)</f>
        <v>0</v>
      </c>
      <c r="I204" s="29" t="n">
        <f aca="false">IF(AND(ISNUMBER(D204),ISNUMBER(E204),E204&gt;0),ROUND(D204*(1+E204/30),1),0)</f>
        <v>0</v>
      </c>
    </row>
    <row r="205" customFormat="false" ht="15" hidden="false" customHeight="true" outlineLevel="0" collapsed="false">
      <c r="A205" s="25"/>
      <c r="B205" s="26"/>
      <c r="C205" s="27"/>
      <c r="D205" s="26"/>
      <c r="E205" s="26"/>
      <c r="F205" s="26"/>
      <c r="G205" s="27"/>
      <c r="H205" s="28" t="n">
        <f aca="false">IF(AND(ISNUMBER(D205),ISNUMBER(E205)),D205*E205,0)</f>
        <v>0</v>
      </c>
      <c r="I205" s="29" t="n">
        <f aca="false">IF(AND(ISNUMBER(D205),ISNUMBER(E205),E205&gt;0),ROUND(D205*(1+E205/30),1),0)</f>
        <v>0</v>
      </c>
    </row>
    <row r="206" customFormat="false" ht="15" hidden="false" customHeight="true" outlineLevel="0" collapsed="false">
      <c r="A206" s="25"/>
      <c r="B206" s="26"/>
      <c r="C206" s="27"/>
      <c r="D206" s="26"/>
      <c r="E206" s="26"/>
      <c r="F206" s="26"/>
      <c r="G206" s="27"/>
      <c r="H206" s="28" t="n">
        <f aca="false">IF(AND(ISNUMBER(D206),ISNUMBER(E206)),D206*E206,0)</f>
        <v>0</v>
      </c>
      <c r="I206" s="29" t="n">
        <f aca="false">IF(AND(ISNUMBER(D206),ISNUMBER(E206),E206&gt;0),ROUND(D206*(1+E206/30),1),0)</f>
        <v>0</v>
      </c>
    </row>
    <row r="207" customFormat="false" ht="15" hidden="false" customHeight="true" outlineLevel="0" collapsed="false">
      <c r="A207" s="25"/>
      <c r="B207" s="26"/>
      <c r="C207" s="27"/>
      <c r="D207" s="26"/>
      <c r="E207" s="26"/>
      <c r="F207" s="26"/>
      <c r="G207" s="27"/>
      <c r="H207" s="28" t="n">
        <f aca="false">IF(AND(ISNUMBER(D207),ISNUMBER(E207)),D207*E207,0)</f>
        <v>0</v>
      </c>
      <c r="I207" s="29" t="n">
        <f aca="false">IF(AND(ISNUMBER(D207),ISNUMBER(E207),E207&gt;0),ROUND(D207*(1+E207/30),1),0)</f>
        <v>0</v>
      </c>
    </row>
    <row r="208" customFormat="false" ht="15" hidden="false" customHeight="true" outlineLevel="0" collapsed="false">
      <c r="A208" s="25"/>
      <c r="B208" s="26"/>
      <c r="C208" s="27"/>
      <c r="D208" s="26"/>
      <c r="E208" s="26"/>
      <c r="F208" s="26"/>
      <c r="G208" s="27"/>
      <c r="H208" s="28" t="n">
        <f aca="false">IF(AND(ISNUMBER(D208),ISNUMBER(E208)),D208*E208,0)</f>
        <v>0</v>
      </c>
      <c r="I208" s="29" t="n">
        <f aca="false">IF(AND(ISNUMBER(D208),ISNUMBER(E208),E208&gt;0),ROUND(D208*(1+E208/30),1),0)</f>
        <v>0</v>
      </c>
    </row>
    <row r="209" customFormat="false" ht="15" hidden="false" customHeight="true" outlineLevel="0" collapsed="false">
      <c r="A209" s="25"/>
      <c r="B209" s="26"/>
      <c r="C209" s="27"/>
      <c r="D209" s="26"/>
      <c r="E209" s="26"/>
      <c r="F209" s="26"/>
      <c r="G209" s="27"/>
      <c r="H209" s="28" t="n">
        <f aca="false">IF(AND(ISNUMBER(D209),ISNUMBER(E209)),D209*E209,0)</f>
        <v>0</v>
      </c>
      <c r="I209" s="29" t="n">
        <f aca="false">IF(AND(ISNUMBER(D209),ISNUMBER(E209),E209&gt;0),ROUND(D209*(1+E209/30),1),0)</f>
        <v>0</v>
      </c>
    </row>
    <row r="210" customFormat="false" ht="15" hidden="false" customHeight="true" outlineLevel="0" collapsed="false">
      <c r="A210" s="25"/>
      <c r="B210" s="26"/>
      <c r="C210" s="27"/>
      <c r="D210" s="26"/>
      <c r="E210" s="26"/>
      <c r="F210" s="26"/>
      <c r="G210" s="27"/>
      <c r="H210" s="28" t="n">
        <f aca="false">IF(AND(ISNUMBER(D210),ISNUMBER(E210)),D210*E210,0)</f>
        <v>0</v>
      </c>
      <c r="I210" s="29" t="n">
        <f aca="false">IF(AND(ISNUMBER(D210),ISNUMBER(E210),E210&gt;0),ROUND(D210*(1+E210/30),1),0)</f>
        <v>0</v>
      </c>
    </row>
    <row r="211" customFormat="false" ht="15" hidden="false" customHeight="true" outlineLevel="0" collapsed="false">
      <c r="A211" s="25"/>
      <c r="B211" s="26"/>
      <c r="C211" s="27"/>
      <c r="D211" s="26"/>
      <c r="E211" s="26"/>
      <c r="F211" s="26"/>
      <c r="G211" s="27"/>
      <c r="H211" s="28" t="n">
        <f aca="false">IF(AND(ISNUMBER(D211),ISNUMBER(E211)),D211*E211,0)</f>
        <v>0</v>
      </c>
      <c r="I211" s="29" t="n">
        <f aca="false">IF(AND(ISNUMBER(D211),ISNUMBER(E211),E211&gt;0),ROUND(D211*(1+E211/30),1),0)</f>
        <v>0</v>
      </c>
    </row>
    <row r="212" customFormat="false" ht="15" hidden="false" customHeight="true" outlineLevel="0" collapsed="false">
      <c r="A212" s="25"/>
      <c r="B212" s="26"/>
      <c r="C212" s="27"/>
      <c r="D212" s="26"/>
      <c r="E212" s="26"/>
      <c r="F212" s="26"/>
      <c r="G212" s="27"/>
      <c r="H212" s="28" t="n">
        <f aca="false">IF(AND(ISNUMBER(D212),ISNUMBER(E212)),D212*E212,0)</f>
        <v>0</v>
      </c>
      <c r="I212" s="29" t="n">
        <f aca="false">IF(AND(ISNUMBER(D212),ISNUMBER(E212),E212&gt;0),ROUND(D212*(1+E212/30),1),0)</f>
        <v>0</v>
      </c>
    </row>
    <row r="213" customFormat="false" ht="15" hidden="false" customHeight="true" outlineLevel="0" collapsed="false">
      <c r="A213" s="25"/>
      <c r="B213" s="26"/>
      <c r="C213" s="27"/>
      <c r="D213" s="26"/>
      <c r="E213" s="26"/>
      <c r="F213" s="26"/>
      <c r="G213" s="27"/>
      <c r="H213" s="28" t="n">
        <f aca="false">IF(AND(ISNUMBER(D213),ISNUMBER(E213)),D213*E213,0)</f>
        <v>0</v>
      </c>
      <c r="I213" s="29" t="n">
        <f aca="false">IF(AND(ISNUMBER(D213),ISNUMBER(E213),E213&gt;0),ROUND(D213*(1+E213/30),1),0)</f>
        <v>0</v>
      </c>
    </row>
    <row r="214" customFormat="false" ht="15" hidden="false" customHeight="true" outlineLevel="0" collapsed="false">
      <c r="A214" s="25"/>
      <c r="B214" s="26"/>
      <c r="C214" s="27"/>
      <c r="D214" s="26"/>
      <c r="E214" s="26"/>
      <c r="F214" s="26"/>
      <c r="G214" s="27"/>
      <c r="H214" s="28" t="n">
        <f aca="false">IF(AND(ISNUMBER(D214),ISNUMBER(E214)),D214*E214,0)</f>
        <v>0</v>
      </c>
      <c r="I214" s="29" t="n">
        <f aca="false">IF(AND(ISNUMBER(D214),ISNUMBER(E214),E214&gt;0),ROUND(D214*(1+E214/30),1),0)</f>
        <v>0</v>
      </c>
    </row>
    <row r="215" customFormat="false" ht="15" hidden="false" customHeight="true" outlineLevel="0" collapsed="false">
      <c r="A215" s="25"/>
      <c r="B215" s="26"/>
      <c r="C215" s="27"/>
      <c r="D215" s="26"/>
      <c r="E215" s="26"/>
      <c r="F215" s="26"/>
      <c r="G215" s="27"/>
      <c r="H215" s="28" t="n">
        <f aca="false">IF(AND(ISNUMBER(D215),ISNUMBER(E215)),D215*E215,0)</f>
        <v>0</v>
      </c>
      <c r="I215" s="29" t="n">
        <f aca="false">IF(AND(ISNUMBER(D215),ISNUMBER(E215),E215&gt;0),ROUND(D215*(1+E215/30),1),0)</f>
        <v>0</v>
      </c>
    </row>
    <row r="216" customFormat="false" ht="15" hidden="false" customHeight="true" outlineLevel="0" collapsed="false">
      <c r="A216" s="25"/>
      <c r="B216" s="26"/>
      <c r="C216" s="27"/>
      <c r="D216" s="26"/>
      <c r="E216" s="26"/>
      <c r="F216" s="26"/>
      <c r="G216" s="27"/>
      <c r="H216" s="28" t="n">
        <f aca="false">IF(AND(ISNUMBER(D216),ISNUMBER(E216)),D216*E216,0)</f>
        <v>0</v>
      </c>
      <c r="I216" s="29" t="n">
        <f aca="false">IF(AND(ISNUMBER(D216),ISNUMBER(E216),E216&gt;0),ROUND(D216*(1+E216/30),1),0)</f>
        <v>0</v>
      </c>
    </row>
    <row r="217" customFormat="false" ht="15" hidden="false" customHeight="true" outlineLevel="0" collapsed="false">
      <c r="A217" s="25"/>
      <c r="B217" s="26"/>
      <c r="C217" s="27"/>
      <c r="D217" s="26"/>
      <c r="E217" s="26"/>
      <c r="F217" s="26"/>
      <c r="G217" s="27"/>
      <c r="H217" s="28" t="n">
        <f aca="false">IF(AND(ISNUMBER(D217),ISNUMBER(E217)),D217*E217,0)</f>
        <v>0</v>
      </c>
      <c r="I217" s="29" t="n">
        <f aca="false">IF(AND(ISNUMBER(D217),ISNUMBER(E217),E217&gt;0),ROUND(D217*(1+E217/30),1),0)</f>
        <v>0</v>
      </c>
    </row>
    <row r="218" customFormat="false" ht="15" hidden="false" customHeight="true" outlineLevel="0" collapsed="false">
      <c r="A218" s="25"/>
      <c r="B218" s="26"/>
      <c r="C218" s="27"/>
      <c r="D218" s="26"/>
      <c r="E218" s="26"/>
      <c r="F218" s="26"/>
      <c r="G218" s="27"/>
      <c r="H218" s="28" t="n">
        <f aca="false">IF(AND(ISNUMBER(D218),ISNUMBER(E218)),D218*E218,0)</f>
        <v>0</v>
      </c>
      <c r="I218" s="29" t="n">
        <f aca="false">IF(AND(ISNUMBER(D218),ISNUMBER(E218),E218&gt;0),ROUND(D218*(1+E218/30),1),0)</f>
        <v>0</v>
      </c>
    </row>
    <row r="219" customFormat="false" ht="15" hidden="false" customHeight="true" outlineLevel="0" collapsed="false">
      <c r="A219" s="25"/>
      <c r="B219" s="26"/>
      <c r="C219" s="27"/>
      <c r="D219" s="26"/>
      <c r="E219" s="26"/>
      <c r="F219" s="26"/>
      <c r="G219" s="27"/>
      <c r="H219" s="28" t="n">
        <f aca="false">IF(AND(ISNUMBER(D219),ISNUMBER(E219)),D219*E219,0)</f>
        <v>0</v>
      </c>
      <c r="I219" s="29" t="n">
        <f aca="false">IF(AND(ISNUMBER(D219),ISNUMBER(E219),E219&gt;0),ROUND(D219*(1+E219/30),1),0)</f>
        <v>0</v>
      </c>
    </row>
    <row r="220" customFormat="false" ht="15" hidden="false" customHeight="true" outlineLevel="0" collapsed="false">
      <c r="A220" s="25"/>
      <c r="B220" s="26"/>
      <c r="C220" s="27"/>
      <c r="D220" s="26"/>
      <c r="E220" s="26"/>
      <c r="F220" s="26"/>
      <c r="G220" s="27"/>
      <c r="H220" s="28" t="n">
        <f aca="false">IF(AND(ISNUMBER(D220),ISNUMBER(E220)),D220*E220,0)</f>
        <v>0</v>
      </c>
      <c r="I220" s="29" t="n">
        <f aca="false">IF(AND(ISNUMBER(D220),ISNUMBER(E220),E220&gt;0),ROUND(D220*(1+E220/30),1),0)</f>
        <v>0</v>
      </c>
    </row>
    <row r="221" customFormat="false" ht="15" hidden="false" customHeight="true" outlineLevel="0" collapsed="false">
      <c r="A221" s="25"/>
      <c r="B221" s="26"/>
      <c r="C221" s="27"/>
      <c r="D221" s="26"/>
      <c r="E221" s="26"/>
      <c r="F221" s="26"/>
      <c r="G221" s="27"/>
      <c r="H221" s="28" t="n">
        <f aca="false">IF(AND(ISNUMBER(D221),ISNUMBER(E221)),D221*E221,0)</f>
        <v>0</v>
      </c>
      <c r="I221" s="29" t="n">
        <f aca="false">IF(AND(ISNUMBER(D221),ISNUMBER(E221),E221&gt;0),ROUND(D221*(1+E221/30),1),0)</f>
        <v>0</v>
      </c>
    </row>
    <row r="222" customFormat="false" ht="15" hidden="false" customHeight="true" outlineLevel="0" collapsed="false">
      <c r="A222" s="25"/>
      <c r="B222" s="26"/>
      <c r="C222" s="27"/>
      <c r="D222" s="26"/>
      <c r="E222" s="26"/>
      <c r="F222" s="26"/>
      <c r="G222" s="27"/>
      <c r="H222" s="28" t="n">
        <f aca="false">IF(AND(ISNUMBER(D222),ISNUMBER(E222)),D222*E222,0)</f>
        <v>0</v>
      </c>
      <c r="I222" s="29" t="n">
        <f aca="false">IF(AND(ISNUMBER(D222),ISNUMBER(E222),E222&gt;0),ROUND(D222*(1+E222/30),1),0)</f>
        <v>0</v>
      </c>
    </row>
    <row r="223" customFormat="false" ht="15" hidden="false" customHeight="true" outlineLevel="0" collapsed="false">
      <c r="A223" s="25"/>
      <c r="B223" s="26"/>
      <c r="C223" s="27"/>
      <c r="D223" s="26"/>
      <c r="E223" s="26"/>
      <c r="F223" s="26"/>
      <c r="G223" s="27"/>
      <c r="H223" s="28" t="n">
        <f aca="false">IF(AND(ISNUMBER(D223),ISNUMBER(E223)),D223*E223,0)</f>
        <v>0</v>
      </c>
      <c r="I223" s="29" t="n">
        <f aca="false">IF(AND(ISNUMBER(D223),ISNUMBER(E223),E223&gt;0),ROUND(D223*(1+E223/30),1),0)</f>
        <v>0</v>
      </c>
    </row>
    <row r="224" customFormat="false" ht="15" hidden="false" customHeight="true" outlineLevel="0" collapsed="false">
      <c r="A224" s="25"/>
      <c r="B224" s="26"/>
      <c r="C224" s="27"/>
      <c r="D224" s="26"/>
      <c r="E224" s="26"/>
      <c r="F224" s="26"/>
      <c r="G224" s="27"/>
      <c r="H224" s="28" t="n">
        <f aca="false">IF(AND(ISNUMBER(D224),ISNUMBER(E224)),D224*E224,0)</f>
        <v>0</v>
      </c>
      <c r="I224" s="29" t="n">
        <f aca="false">IF(AND(ISNUMBER(D224),ISNUMBER(E224),E224&gt;0),ROUND(D224*(1+E224/30),1),0)</f>
        <v>0</v>
      </c>
    </row>
    <row r="225" customFormat="false" ht="15" hidden="false" customHeight="true" outlineLevel="0" collapsed="false">
      <c r="A225" s="25"/>
      <c r="B225" s="26"/>
      <c r="C225" s="27"/>
      <c r="D225" s="26"/>
      <c r="E225" s="26"/>
      <c r="F225" s="26"/>
      <c r="G225" s="27"/>
      <c r="H225" s="28" t="n">
        <f aca="false">IF(AND(ISNUMBER(D225),ISNUMBER(E225)),D225*E225,0)</f>
        <v>0</v>
      </c>
      <c r="I225" s="29" t="n">
        <f aca="false">IF(AND(ISNUMBER(D225),ISNUMBER(E225),E225&gt;0),ROUND(D225*(1+E225/30),1),0)</f>
        <v>0</v>
      </c>
    </row>
    <row r="226" customFormat="false" ht="15" hidden="false" customHeight="true" outlineLevel="0" collapsed="false">
      <c r="A226" s="25"/>
      <c r="B226" s="26"/>
      <c r="C226" s="27"/>
      <c r="D226" s="26"/>
      <c r="E226" s="26"/>
      <c r="F226" s="26"/>
      <c r="G226" s="27"/>
      <c r="H226" s="28" t="n">
        <f aca="false">IF(AND(ISNUMBER(D226),ISNUMBER(E226)),D226*E226,0)</f>
        <v>0</v>
      </c>
      <c r="I226" s="29" t="n">
        <f aca="false">IF(AND(ISNUMBER(D226),ISNUMBER(E226),E226&gt;0),ROUND(D226*(1+E226/30),1),0)</f>
        <v>0</v>
      </c>
    </row>
    <row r="227" customFormat="false" ht="15" hidden="false" customHeight="true" outlineLevel="0" collapsed="false">
      <c r="A227" s="25"/>
      <c r="B227" s="26"/>
      <c r="C227" s="27"/>
      <c r="D227" s="26"/>
      <c r="E227" s="26"/>
      <c r="F227" s="26"/>
      <c r="G227" s="27"/>
      <c r="H227" s="28" t="n">
        <f aca="false">IF(AND(ISNUMBER(D227),ISNUMBER(E227)),D227*E227,0)</f>
        <v>0</v>
      </c>
      <c r="I227" s="29" t="n">
        <f aca="false">IF(AND(ISNUMBER(D227),ISNUMBER(E227),E227&gt;0),ROUND(D227*(1+E227/30),1),0)</f>
        <v>0</v>
      </c>
    </row>
    <row r="228" customFormat="false" ht="15" hidden="false" customHeight="true" outlineLevel="0" collapsed="false">
      <c r="A228" s="25"/>
      <c r="B228" s="26"/>
      <c r="C228" s="27"/>
      <c r="D228" s="26"/>
      <c r="E228" s="26"/>
      <c r="F228" s="26"/>
      <c r="G228" s="27"/>
      <c r="H228" s="28" t="n">
        <f aca="false">IF(AND(ISNUMBER(D228),ISNUMBER(E228)),D228*E228,0)</f>
        <v>0</v>
      </c>
      <c r="I228" s="29" t="n">
        <f aca="false">IF(AND(ISNUMBER(D228),ISNUMBER(E228),E228&gt;0),ROUND(D228*(1+E228/30),1),0)</f>
        <v>0</v>
      </c>
    </row>
    <row r="229" customFormat="false" ht="15" hidden="false" customHeight="true" outlineLevel="0" collapsed="false">
      <c r="A229" s="25"/>
      <c r="B229" s="26"/>
      <c r="C229" s="27"/>
      <c r="D229" s="26"/>
      <c r="E229" s="26"/>
      <c r="F229" s="26"/>
      <c r="G229" s="27"/>
      <c r="H229" s="28" t="n">
        <f aca="false">IF(AND(ISNUMBER(D229),ISNUMBER(E229)),D229*E229,0)</f>
        <v>0</v>
      </c>
      <c r="I229" s="29" t="n">
        <f aca="false">IF(AND(ISNUMBER(D229),ISNUMBER(E229),E229&gt;0),ROUND(D229*(1+E229/30),1),0)</f>
        <v>0</v>
      </c>
    </row>
    <row r="230" customFormat="false" ht="15" hidden="false" customHeight="true" outlineLevel="0" collapsed="false">
      <c r="A230" s="25"/>
      <c r="B230" s="26"/>
      <c r="C230" s="27"/>
      <c r="D230" s="26"/>
      <c r="E230" s="26"/>
      <c r="F230" s="26"/>
      <c r="G230" s="27"/>
      <c r="H230" s="28" t="n">
        <f aca="false">IF(AND(ISNUMBER(D230),ISNUMBER(E230)),D230*E230,0)</f>
        <v>0</v>
      </c>
      <c r="I230" s="29" t="n">
        <f aca="false">IF(AND(ISNUMBER(D230),ISNUMBER(E230),E230&gt;0),ROUND(D230*(1+E230/30),1),0)</f>
        <v>0</v>
      </c>
    </row>
    <row r="231" customFormat="false" ht="15" hidden="false" customHeight="true" outlineLevel="0" collapsed="false">
      <c r="A231" s="25"/>
      <c r="B231" s="26"/>
      <c r="C231" s="27"/>
      <c r="D231" s="26"/>
      <c r="E231" s="26"/>
      <c r="F231" s="26"/>
      <c r="G231" s="27"/>
      <c r="H231" s="28" t="n">
        <f aca="false">IF(AND(ISNUMBER(D231),ISNUMBER(E231)),D231*E231,0)</f>
        <v>0</v>
      </c>
      <c r="I231" s="29" t="n">
        <f aca="false">IF(AND(ISNUMBER(D231),ISNUMBER(E231),E231&gt;0),ROUND(D231*(1+E231/30),1),0)</f>
        <v>0</v>
      </c>
    </row>
    <row r="232" customFormat="false" ht="15" hidden="false" customHeight="true" outlineLevel="0" collapsed="false">
      <c r="A232" s="25"/>
      <c r="B232" s="26"/>
      <c r="C232" s="27"/>
      <c r="D232" s="26"/>
      <c r="E232" s="26"/>
      <c r="F232" s="26"/>
      <c r="G232" s="27"/>
      <c r="H232" s="28" t="n">
        <f aca="false">IF(AND(ISNUMBER(D232),ISNUMBER(E232)),D232*E232,0)</f>
        <v>0</v>
      </c>
      <c r="I232" s="29" t="n">
        <f aca="false">IF(AND(ISNUMBER(D232),ISNUMBER(E232),E232&gt;0),ROUND(D232*(1+E232/30),1),0)</f>
        <v>0</v>
      </c>
    </row>
    <row r="233" customFormat="false" ht="15" hidden="false" customHeight="true" outlineLevel="0" collapsed="false">
      <c r="A233" s="25"/>
      <c r="B233" s="26"/>
      <c r="C233" s="27"/>
      <c r="D233" s="26"/>
      <c r="E233" s="26"/>
      <c r="F233" s="26"/>
      <c r="G233" s="27"/>
      <c r="H233" s="28" t="n">
        <f aca="false">IF(AND(ISNUMBER(D233),ISNUMBER(E233)),D233*E233,0)</f>
        <v>0</v>
      </c>
      <c r="I233" s="29" t="n">
        <f aca="false">IF(AND(ISNUMBER(D233),ISNUMBER(E233),E233&gt;0),ROUND(D233*(1+E233/30),1),0)</f>
        <v>0</v>
      </c>
    </row>
    <row r="234" customFormat="false" ht="15" hidden="false" customHeight="true" outlineLevel="0" collapsed="false">
      <c r="A234" s="25"/>
      <c r="B234" s="26"/>
      <c r="C234" s="27"/>
      <c r="D234" s="26"/>
      <c r="E234" s="26"/>
      <c r="F234" s="26"/>
      <c r="G234" s="27"/>
      <c r="H234" s="28" t="n">
        <f aca="false">IF(AND(ISNUMBER(D234),ISNUMBER(E234)),D234*E234,0)</f>
        <v>0</v>
      </c>
      <c r="I234" s="29" t="n">
        <f aca="false">IF(AND(ISNUMBER(D234),ISNUMBER(E234),E234&gt;0),ROUND(D234*(1+E234/30),1),0)</f>
        <v>0</v>
      </c>
    </row>
    <row r="235" customFormat="false" ht="15" hidden="false" customHeight="true" outlineLevel="0" collapsed="false">
      <c r="A235" s="25"/>
      <c r="B235" s="26"/>
      <c r="C235" s="27"/>
      <c r="D235" s="26"/>
      <c r="E235" s="26"/>
      <c r="F235" s="26"/>
      <c r="G235" s="27"/>
      <c r="H235" s="28" t="n">
        <f aca="false">IF(AND(ISNUMBER(D235),ISNUMBER(E235)),D235*E235,0)</f>
        <v>0</v>
      </c>
      <c r="I235" s="29" t="n">
        <f aca="false">IF(AND(ISNUMBER(D235),ISNUMBER(E235),E235&gt;0),ROUND(D235*(1+E235/30),1),0)</f>
        <v>0</v>
      </c>
    </row>
    <row r="236" customFormat="false" ht="15" hidden="false" customHeight="true" outlineLevel="0" collapsed="false">
      <c r="A236" s="25"/>
      <c r="B236" s="26"/>
      <c r="C236" s="27"/>
      <c r="D236" s="26"/>
      <c r="E236" s="26"/>
      <c r="F236" s="26"/>
      <c r="G236" s="27"/>
      <c r="H236" s="28" t="n">
        <f aca="false">IF(AND(ISNUMBER(D236),ISNUMBER(E236)),D236*E236,0)</f>
        <v>0</v>
      </c>
      <c r="I236" s="29" t="n">
        <f aca="false">IF(AND(ISNUMBER(D236),ISNUMBER(E236),E236&gt;0),ROUND(D236*(1+E236/30),1),0)</f>
        <v>0</v>
      </c>
    </row>
    <row r="237" customFormat="false" ht="15" hidden="false" customHeight="true" outlineLevel="0" collapsed="false">
      <c r="A237" s="25"/>
      <c r="B237" s="26"/>
      <c r="C237" s="27"/>
      <c r="D237" s="26"/>
      <c r="E237" s="26"/>
      <c r="F237" s="26"/>
      <c r="G237" s="27"/>
      <c r="H237" s="28" t="n">
        <f aca="false">IF(AND(ISNUMBER(D237),ISNUMBER(E237)),D237*E237,0)</f>
        <v>0</v>
      </c>
      <c r="I237" s="29" t="n">
        <f aca="false">IF(AND(ISNUMBER(D237),ISNUMBER(E237),E237&gt;0),ROUND(D237*(1+E237/30),1),0)</f>
        <v>0</v>
      </c>
    </row>
    <row r="238" customFormat="false" ht="15" hidden="false" customHeight="true" outlineLevel="0" collapsed="false">
      <c r="A238" s="25"/>
      <c r="B238" s="26"/>
      <c r="C238" s="27"/>
      <c r="D238" s="26"/>
      <c r="E238" s="26"/>
      <c r="F238" s="26"/>
      <c r="G238" s="27"/>
      <c r="H238" s="28" t="n">
        <f aca="false">IF(AND(ISNUMBER(D238),ISNUMBER(E238)),D238*E238,0)</f>
        <v>0</v>
      </c>
      <c r="I238" s="29" t="n">
        <f aca="false">IF(AND(ISNUMBER(D238),ISNUMBER(E238),E238&gt;0),ROUND(D238*(1+E238/30),1),0)</f>
        <v>0</v>
      </c>
    </row>
    <row r="239" customFormat="false" ht="15" hidden="false" customHeight="true" outlineLevel="0" collapsed="false">
      <c r="A239" s="25"/>
      <c r="B239" s="26"/>
      <c r="C239" s="27"/>
      <c r="D239" s="26"/>
      <c r="E239" s="26"/>
      <c r="F239" s="26"/>
      <c r="G239" s="27"/>
      <c r="H239" s="28" t="n">
        <f aca="false">IF(AND(ISNUMBER(D239),ISNUMBER(E239)),D239*E239,0)</f>
        <v>0</v>
      </c>
      <c r="I239" s="29" t="n">
        <f aca="false">IF(AND(ISNUMBER(D239),ISNUMBER(E239),E239&gt;0),ROUND(D239*(1+E239/30),1),0)</f>
        <v>0</v>
      </c>
    </row>
    <row r="240" customFormat="false" ht="15" hidden="false" customHeight="true" outlineLevel="0" collapsed="false">
      <c r="A240" s="25"/>
      <c r="B240" s="26"/>
      <c r="C240" s="27"/>
      <c r="D240" s="26"/>
      <c r="E240" s="26"/>
      <c r="F240" s="26"/>
      <c r="G240" s="27"/>
      <c r="H240" s="28" t="n">
        <f aca="false">IF(AND(ISNUMBER(D240),ISNUMBER(E240)),D240*E240,0)</f>
        <v>0</v>
      </c>
      <c r="I240" s="29" t="n">
        <f aca="false">IF(AND(ISNUMBER(D240),ISNUMBER(E240),E240&gt;0),ROUND(D240*(1+E240/30),1),0)</f>
        <v>0</v>
      </c>
    </row>
    <row r="241" customFormat="false" ht="15" hidden="false" customHeight="true" outlineLevel="0" collapsed="false">
      <c r="A241" s="25"/>
      <c r="B241" s="26"/>
      <c r="C241" s="27"/>
      <c r="D241" s="26"/>
      <c r="E241" s="26"/>
      <c r="F241" s="26"/>
      <c r="G241" s="27"/>
      <c r="H241" s="28" t="n">
        <f aca="false">IF(AND(ISNUMBER(D241),ISNUMBER(E241)),D241*E241,0)</f>
        <v>0</v>
      </c>
      <c r="I241" s="29" t="n">
        <f aca="false">IF(AND(ISNUMBER(D241),ISNUMBER(E241),E241&gt;0),ROUND(D241*(1+E241/30),1),0)</f>
        <v>0</v>
      </c>
    </row>
    <row r="242" customFormat="false" ht="15" hidden="false" customHeight="true" outlineLevel="0" collapsed="false">
      <c r="A242" s="25"/>
      <c r="B242" s="26"/>
      <c r="C242" s="27"/>
      <c r="D242" s="26"/>
      <c r="E242" s="26"/>
      <c r="F242" s="26"/>
      <c r="G242" s="27"/>
      <c r="H242" s="28" t="n">
        <f aca="false">IF(AND(ISNUMBER(D242),ISNUMBER(E242)),D242*E242,0)</f>
        <v>0</v>
      </c>
      <c r="I242" s="29" t="n">
        <f aca="false">IF(AND(ISNUMBER(D242),ISNUMBER(E242),E242&gt;0),ROUND(D242*(1+E242/30),1),0)</f>
        <v>0</v>
      </c>
    </row>
    <row r="243" customFormat="false" ht="15" hidden="false" customHeight="true" outlineLevel="0" collapsed="false">
      <c r="A243" s="25"/>
      <c r="B243" s="26"/>
      <c r="C243" s="27"/>
      <c r="D243" s="26"/>
      <c r="E243" s="26"/>
      <c r="F243" s="26"/>
      <c r="G243" s="27"/>
      <c r="H243" s="28" t="n">
        <f aca="false">IF(AND(ISNUMBER(D243),ISNUMBER(E243)),D243*E243,0)</f>
        <v>0</v>
      </c>
      <c r="I243" s="29" t="n">
        <f aca="false">IF(AND(ISNUMBER(D243),ISNUMBER(E243),E243&gt;0),ROUND(D243*(1+E243/30),1),0)</f>
        <v>0</v>
      </c>
    </row>
    <row r="244" customFormat="false" ht="15" hidden="false" customHeight="true" outlineLevel="0" collapsed="false">
      <c r="A244" s="25"/>
      <c r="B244" s="26"/>
      <c r="C244" s="27"/>
      <c r="D244" s="26"/>
      <c r="E244" s="26"/>
      <c r="F244" s="26"/>
      <c r="G244" s="27"/>
      <c r="H244" s="28" t="n">
        <f aca="false">IF(AND(ISNUMBER(D244),ISNUMBER(E244)),D244*E244,0)</f>
        <v>0</v>
      </c>
      <c r="I244" s="29" t="n">
        <f aca="false">IF(AND(ISNUMBER(D244),ISNUMBER(E244),E244&gt;0),ROUND(D244*(1+E244/30),1),0)</f>
        <v>0</v>
      </c>
    </row>
    <row r="245" customFormat="false" ht="15" hidden="false" customHeight="true" outlineLevel="0" collapsed="false">
      <c r="A245" s="25"/>
      <c r="B245" s="26"/>
      <c r="C245" s="27"/>
      <c r="D245" s="26"/>
      <c r="E245" s="26"/>
      <c r="F245" s="26"/>
      <c r="G245" s="27"/>
      <c r="H245" s="28" t="n">
        <f aca="false">IF(AND(ISNUMBER(D245),ISNUMBER(E245)),D245*E245,0)</f>
        <v>0</v>
      </c>
      <c r="I245" s="29" t="n">
        <f aca="false">IF(AND(ISNUMBER(D245),ISNUMBER(E245),E245&gt;0),ROUND(D245*(1+E245/30),1),0)</f>
        <v>0</v>
      </c>
    </row>
    <row r="246" customFormat="false" ht="15" hidden="false" customHeight="true" outlineLevel="0" collapsed="false">
      <c r="A246" s="25"/>
      <c r="B246" s="26"/>
      <c r="C246" s="27"/>
      <c r="D246" s="26"/>
      <c r="E246" s="26"/>
      <c r="F246" s="26"/>
      <c r="G246" s="27"/>
      <c r="H246" s="28" t="n">
        <f aca="false">IF(AND(ISNUMBER(D246),ISNUMBER(E246)),D246*E246,0)</f>
        <v>0</v>
      </c>
      <c r="I246" s="29" t="n">
        <f aca="false">IF(AND(ISNUMBER(D246),ISNUMBER(E246),E246&gt;0),ROUND(D246*(1+E246/30),1),0)</f>
        <v>0</v>
      </c>
    </row>
    <row r="247" customFormat="false" ht="15" hidden="false" customHeight="true" outlineLevel="0" collapsed="false">
      <c r="A247" s="25"/>
      <c r="B247" s="26"/>
      <c r="C247" s="27"/>
      <c r="D247" s="26"/>
      <c r="E247" s="26"/>
      <c r="F247" s="26"/>
      <c r="G247" s="27"/>
      <c r="H247" s="28" t="n">
        <f aca="false">IF(AND(ISNUMBER(D247),ISNUMBER(E247)),D247*E247,0)</f>
        <v>0</v>
      </c>
      <c r="I247" s="29" t="n">
        <f aca="false">IF(AND(ISNUMBER(D247),ISNUMBER(E247),E247&gt;0),ROUND(D247*(1+E247/30),1),0)</f>
        <v>0</v>
      </c>
    </row>
    <row r="248" customFormat="false" ht="15" hidden="false" customHeight="true" outlineLevel="0" collapsed="false">
      <c r="A248" s="25"/>
      <c r="B248" s="26"/>
      <c r="C248" s="27"/>
      <c r="D248" s="26"/>
      <c r="E248" s="26"/>
      <c r="F248" s="26"/>
      <c r="G248" s="27"/>
      <c r="H248" s="28" t="n">
        <f aca="false">IF(AND(ISNUMBER(D248),ISNUMBER(E248)),D248*E248,0)</f>
        <v>0</v>
      </c>
      <c r="I248" s="29" t="n">
        <f aca="false">IF(AND(ISNUMBER(D248),ISNUMBER(E248),E248&gt;0),ROUND(D248*(1+E248/30),1),0)</f>
        <v>0</v>
      </c>
    </row>
    <row r="249" customFormat="false" ht="15" hidden="false" customHeight="true" outlineLevel="0" collapsed="false">
      <c r="A249" s="25"/>
      <c r="B249" s="26"/>
      <c r="C249" s="27"/>
      <c r="D249" s="26"/>
      <c r="E249" s="26"/>
      <c r="F249" s="26"/>
      <c r="G249" s="27"/>
      <c r="H249" s="28" t="n">
        <f aca="false">IF(AND(ISNUMBER(D249),ISNUMBER(E249)),D249*E249,0)</f>
        <v>0</v>
      </c>
      <c r="I249" s="29" t="n">
        <f aca="false">IF(AND(ISNUMBER(D249),ISNUMBER(E249),E249&gt;0),ROUND(D249*(1+E249/30),1),0)</f>
        <v>0</v>
      </c>
    </row>
    <row r="250" customFormat="false" ht="15" hidden="false" customHeight="true" outlineLevel="0" collapsed="false">
      <c r="A250" s="25"/>
      <c r="B250" s="26"/>
      <c r="C250" s="27"/>
      <c r="D250" s="26"/>
      <c r="E250" s="26"/>
      <c r="F250" s="26"/>
      <c r="G250" s="27"/>
      <c r="H250" s="28" t="n">
        <f aca="false">IF(AND(ISNUMBER(D250),ISNUMBER(E250)),D250*E250,0)</f>
        <v>0</v>
      </c>
      <c r="I250" s="29" t="n">
        <f aca="false">IF(AND(ISNUMBER(D250),ISNUMBER(E250),E250&gt;0),ROUND(D250*(1+E250/30),1),0)</f>
        <v>0</v>
      </c>
    </row>
    <row r="251" customFormat="false" ht="15" hidden="false" customHeight="true" outlineLevel="0" collapsed="false">
      <c r="A251" s="25"/>
      <c r="B251" s="26"/>
      <c r="C251" s="27"/>
      <c r="D251" s="26"/>
      <c r="E251" s="26"/>
      <c r="F251" s="26"/>
      <c r="G251" s="27"/>
      <c r="H251" s="28" t="n">
        <f aca="false">IF(AND(ISNUMBER(D251),ISNUMBER(E251)),D251*E251,0)</f>
        <v>0</v>
      </c>
      <c r="I251" s="29" t="n">
        <f aca="false">IF(AND(ISNUMBER(D251),ISNUMBER(E251),E251&gt;0),ROUND(D251*(1+E251/30),1),0)</f>
        <v>0</v>
      </c>
    </row>
    <row r="252" customFormat="false" ht="15" hidden="false" customHeight="true" outlineLevel="0" collapsed="false">
      <c r="A252" s="25"/>
      <c r="B252" s="26"/>
      <c r="C252" s="27"/>
      <c r="D252" s="26"/>
      <c r="E252" s="26"/>
      <c r="F252" s="26"/>
      <c r="G252" s="27"/>
      <c r="H252" s="28" t="n">
        <f aca="false">IF(AND(ISNUMBER(D252),ISNUMBER(E252)),D252*E252,0)</f>
        <v>0</v>
      </c>
      <c r="I252" s="29" t="n">
        <f aca="false">IF(AND(ISNUMBER(D252),ISNUMBER(E252),E252&gt;0),ROUND(D252*(1+E252/30),1),0)</f>
        <v>0</v>
      </c>
    </row>
    <row r="253" customFormat="false" ht="15" hidden="false" customHeight="true" outlineLevel="0" collapsed="false">
      <c r="A253" s="25"/>
      <c r="B253" s="26"/>
      <c r="C253" s="27"/>
      <c r="D253" s="26"/>
      <c r="E253" s="26"/>
      <c r="F253" s="26"/>
      <c r="G253" s="27"/>
      <c r="H253" s="28" t="n">
        <f aca="false">IF(AND(ISNUMBER(D253),ISNUMBER(E253)),D253*E253,0)</f>
        <v>0</v>
      </c>
      <c r="I253" s="29" t="n">
        <f aca="false">IF(AND(ISNUMBER(D253),ISNUMBER(E253),E253&gt;0),ROUND(D253*(1+E253/30),1),0)</f>
        <v>0</v>
      </c>
    </row>
    <row r="254" customFormat="false" ht="15" hidden="false" customHeight="true" outlineLevel="0" collapsed="false">
      <c r="A254" s="25"/>
      <c r="B254" s="26"/>
      <c r="C254" s="27"/>
      <c r="D254" s="26"/>
      <c r="E254" s="26"/>
      <c r="F254" s="26"/>
      <c r="G254" s="27"/>
      <c r="H254" s="28" t="n">
        <f aca="false">IF(AND(ISNUMBER(D254),ISNUMBER(E254)),D254*E254,0)</f>
        <v>0</v>
      </c>
      <c r="I254" s="29" t="n">
        <f aca="false">IF(AND(ISNUMBER(D254),ISNUMBER(E254),E254&gt;0),ROUND(D254*(1+E254/30),1),0)</f>
        <v>0</v>
      </c>
    </row>
    <row r="255" customFormat="false" ht="15" hidden="false" customHeight="true" outlineLevel="0" collapsed="false">
      <c r="A255" s="25"/>
      <c r="B255" s="26"/>
      <c r="C255" s="27"/>
      <c r="D255" s="26"/>
      <c r="E255" s="26"/>
      <c r="F255" s="26"/>
      <c r="G255" s="27"/>
      <c r="H255" s="28" t="n">
        <f aca="false">IF(AND(ISNUMBER(D255),ISNUMBER(E255)),D255*E255,0)</f>
        <v>0</v>
      </c>
      <c r="I255" s="29" t="n">
        <f aca="false">IF(AND(ISNUMBER(D255),ISNUMBER(E255),E255&gt;0),ROUND(D255*(1+E255/30),1),0)</f>
        <v>0</v>
      </c>
    </row>
    <row r="256" customFormat="false" ht="15" hidden="false" customHeight="true" outlineLevel="0" collapsed="false">
      <c r="A256" s="25"/>
      <c r="B256" s="26"/>
      <c r="C256" s="27"/>
      <c r="D256" s="26"/>
      <c r="E256" s="26"/>
      <c r="F256" s="26"/>
      <c r="G256" s="27"/>
      <c r="H256" s="28" t="n">
        <f aca="false">IF(AND(ISNUMBER(D256),ISNUMBER(E256)),D256*E256,0)</f>
        <v>0</v>
      </c>
      <c r="I256" s="29" t="n">
        <f aca="false">IF(AND(ISNUMBER(D256),ISNUMBER(E256),E256&gt;0),ROUND(D256*(1+E256/30),1),0)</f>
        <v>0</v>
      </c>
    </row>
    <row r="257" customFormat="false" ht="15" hidden="false" customHeight="true" outlineLevel="0" collapsed="false">
      <c r="A257" s="25"/>
      <c r="B257" s="26"/>
      <c r="C257" s="27"/>
      <c r="D257" s="26"/>
      <c r="E257" s="26"/>
      <c r="F257" s="26"/>
      <c r="G257" s="27"/>
      <c r="H257" s="28" t="n">
        <f aca="false">IF(AND(ISNUMBER(D257),ISNUMBER(E257)),D257*E257,0)</f>
        <v>0</v>
      </c>
      <c r="I257" s="29" t="n">
        <f aca="false">IF(AND(ISNUMBER(D257),ISNUMBER(E257),E257&gt;0),ROUND(D257*(1+E257/30),1),0)</f>
        <v>0</v>
      </c>
    </row>
    <row r="258" customFormat="false" ht="15" hidden="false" customHeight="true" outlineLevel="0" collapsed="false">
      <c r="A258" s="25"/>
      <c r="B258" s="26"/>
      <c r="C258" s="27"/>
      <c r="D258" s="26"/>
      <c r="E258" s="26"/>
      <c r="F258" s="26"/>
      <c r="G258" s="27"/>
      <c r="H258" s="28" t="n">
        <f aca="false">IF(AND(ISNUMBER(D258),ISNUMBER(E258)),D258*E258,0)</f>
        <v>0</v>
      </c>
      <c r="I258" s="29" t="n">
        <f aca="false">IF(AND(ISNUMBER(D258),ISNUMBER(E258),E258&gt;0),ROUND(D258*(1+E258/30),1),0)</f>
        <v>0</v>
      </c>
    </row>
    <row r="259" customFormat="false" ht="15" hidden="false" customHeight="true" outlineLevel="0" collapsed="false">
      <c r="A259" s="25"/>
      <c r="B259" s="26"/>
      <c r="C259" s="27"/>
      <c r="D259" s="26"/>
      <c r="E259" s="26"/>
      <c r="F259" s="26"/>
      <c r="G259" s="27"/>
      <c r="H259" s="28" t="n">
        <f aca="false">IF(AND(ISNUMBER(D259),ISNUMBER(E259)),D259*E259,0)</f>
        <v>0</v>
      </c>
      <c r="I259" s="29" t="n">
        <f aca="false">IF(AND(ISNUMBER(D259),ISNUMBER(E259),E259&gt;0),ROUND(D259*(1+E259/30),1),0)</f>
        <v>0</v>
      </c>
    </row>
    <row r="260" customFormat="false" ht="15" hidden="false" customHeight="true" outlineLevel="0" collapsed="false">
      <c r="A260" s="25"/>
      <c r="B260" s="26"/>
      <c r="C260" s="27"/>
      <c r="D260" s="26"/>
      <c r="E260" s="26"/>
      <c r="F260" s="26"/>
      <c r="G260" s="27"/>
      <c r="H260" s="28" t="n">
        <f aca="false">IF(AND(ISNUMBER(D260),ISNUMBER(E260)),D260*E260,0)</f>
        <v>0</v>
      </c>
      <c r="I260" s="29" t="n">
        <f aca="false">IF(AND(ISNUMBER(D260),ISNUMBER(E260),E260&gt;0),ROUND(D260*(1+E260/30),1),0)</f>
        <v>0</v>
      </c>
    </row>
    <row r="261" customFormat="false" ht="15" hidden="false" customHeight="true" outlineLevel="0" collapsed="false">
      <c r="A261" s="25"/>
      <c r="B261" s="26"/>
      <c r="C261" s="27"/>
      <c r="D261" s="26"/>
      <c r="E261" s="26"/>
      <c r="F261" s="26"/>
      <c r="G261" s="27"/>
      <c r="H261" s="28" t="n">
        <f aca="false">IF(AND(ISNUMBER(D261),ISNUMBER(E261)),D261*E261,0)</f>
        <v>0</v>
      </c>
      <c r="I261" s="29" t="n">
        <f aca="false">IF(AND(ISNUMBER(D261),ISNUMBER(E261),E261&gt;0),ROUND(D261*(1+E261/30),1),0)</f>
        <v>0</v>
      </c>
    </row>
    <row r="262" customFormat="false" ht="15" hidden="false" customHeight="true" outlineLevel="0" collapsed="false">
      <c r="A262" s="25"/>
      <c r="B262" s="26"/>
      <c r="C262" s="27"/>
      <c r="D262" s="26"/>
      <c r="E262" s="26"/>
      <c r="F262" s="26"/>
      <c r="G262" s="27"/>
      <c r="H262" s="28" t="n">
        <f aca="false">IF(AND(ISNUMBER(D262),ISNUMBER(E262)),D262*E262,0)</f>
        <v>0</v>
      </c>
      <c r="I262" s="29" t="n">
        <f aca="false">IF(AND(ISNUMBER(D262),ISNUMBER(E262),E262&gt;0),ROUND(D262*(1+E262/30),1),0)</f>
        <v>0</v>
      </c>
    </row>
    <row r="263" customFormat="false" ht="15" hidden="false" customHeight="true" outlineLevel="0" collapsed="false">
      <c r="A263" s="25"/>
      <c r="B263" s="26"/>
      <c r="C263" s="27"/>
      <c r="D263" s="26"/>
      <c r="E263" s="26"/>
      <c r="F263" s="26"/>
      <c r="G263" s="27"/>
      <c r="H263" s="28" t="n">
        <f aca="false">IF(AND(ISNUMBER(D263),ISNUMBER(E263)),D263*E263,0)</f>
        <v>0</v>
      </c>
      <c r="I263" s="29" t="n">
        <f aca="false">IF(AND(ISNUMBER(D263),ISNUMBER(E263),E263&gt;0),ROUND(D263*(1+E263/30),1),0)</f>
        <v>0</v>
      </c>
    </row>
    <row r="264" customFormat="false" ht="15" hidden="false" customHeight="true" outlineLevel="0" collapsed="false">
      <c r="A264" s="25"/>
      <c r="B264" s="26"/>
      <c r="C264" s="27"/>
      <c r="D264" s="26"/>
      <c r="E264" s="26"/>
      <c r="F264" s="26"/>
      <c r="G264" s="27"/>
      <c r="H264" s="28" t="n">
        <f aca="false">IF(AND(ISNUMBER(D264),ISNUMBER(E264)),D264*E264,0)</f>
        <v>0</v>
      </c>
      <c r="I264" s="29" t="n">
        <f aca="false">IF(AND(ISNUMBER(D264),ISNUMBER(E264),E264&gt;0),ROUND(D264*(1+E264/30),1),0)</f>
        <v>0</v>
      </c>
    </row>
    <row r="265" customFormat="false" ht="15" hidden="false" customHeight="true" outlineLevel="0" collapsed="false">
      <c r="A265" s="25"/>
      <c r="B265" s="26"/>
      <c r="C265" s="27"/>
      <c r="D265" s="26"/>
      <c r="E265" s="26"/>
      <c r="F265" s="26"/>
      <c r="G265" s="27"/>
      <c r="H265" s="28" t="n">
        <f aca="false">IF(AND(ISNUMBER(D265),ISNUMBER(E265)),D265*E265,0)</f>
        <v>0</v>
      </c>
      <c r="I265" s="29" t="n">
        <f aca="false">IF(AND(ISNUMBER(D265),ISNUMBER(E265),E265&gt;0),ROUND(D265*(1+E265/30),1),0)</f>
        <v>0</v>
      </c>
    </row>
    <row r="266" customFormat="false" ht="15" hidden="false" customHeight="true" outlineLevel="0" collapsed="false">
      <c r="A266" s="25"/>
      <c r="B266" s="26"/>
      <c r="C266" s="27"/>
      <c r="D266" s="26"/>
      <c r="E266" s="26"/>
      <c r="F266" s="26"/>
      <c r="G266" s="27"/>
      <c r="H266" s="28" t="n">
        <f aca="false">IF(AND(ISNUMBER(D266),ISNUMBER(E266)),D266*E266,0)</f>
        <v>0</v>
      </c>
      <c r="I266" s="29" t="n">
        <f aca="false">IF(AND(ISNUMBER(D266),ISNUMBER(E266),E266&gt;0),ROUND(D266*(1+E266/30),1),0)</f>
        <v>0</v>
      </c>
    </row>
    <row r="267" customFormat="false" ht="15" hidden="false" customHeight="true" outlineLevel="0" collapsed="false">
      <c r="A267" s="25"/>
      <c r="B267" s="26"/>
      <c r="C267" s="27"/>
      <c r="D267" s="26"/>
      <c r="E267" s="26"/>
      <c r="F267" s="26"/>
      <c r="G267" s="27"/>
      <c r="H267" s="28" t="n">
        <f aca="false">IF(AND(ISNUMBER(D267),ISNUMBER(E267)),D267*E267,0)</f>
        <v>0</v>
      </c>
      <c r="I267" s="29" t="n">
        <f aca="false">IF(AND(ISNUMBER(D267),ISNUMBER(E267),E267&gt;0),ROUND(D267*(1+E267/30),1),0)</f>
        <v>0</v>
      </c>
    </row>
    <row r="268" customFormat="false" ht="15" hidden="false" customHeight="true" outlineLevel="0" collapsed="false">
      <c r="A268" s="25"/>
      <c r="B268" s="26"/>
      <c r="C268" s="27"/>
      <c r="D268" s="26"/>
      <c r="E268" s="26"/>
      <c r="F268" s="26"/>
      <c r="G268" s="27"/>
      <c r="H268" s="28" t="n">
        <f aca="false">IF(AND(ISNUMBER(D268),ISNUMBER(E268)),D268*E268,0)</f>
        <v>0</v>
      </c>
      <c r="I268" s="29" t="n">
        <f aca="false">IF(AND(ISNUMBER(D268),ISNUMBER(E268),E268&gt;0),ROUND(D268*(1+E268/30),1),0)</f>
        <v>0</v>
      </c>
    </row>
    <row r="269" customFormat="false" ht="15" hidden="false" customHeight="true" outlineLevel="0" collapsed="false">
      <c r="A269" s="25"/>
      <c r="B269" s="26"/>
      <c r="C269" s="27"/>
      <c r="D269" s="26"/>
      <c r="E269" s="26"/>
      <c r="F269" s="26"/>
      <c r="G269" s="27"/>
      <c r="H269" s="28" t="n">
        <f aca="false">IF(AND(ISNUMBER(D269),ISNUMBER(E269)),D269*E269,0)</f>
        <v>0</v>
      </c>
      <c r="I269" s="29" t="n">
        <f aca="false">IF(AND(ISNUMBER(D269),ISNUMBER(E269),E269&gt;0),ROUND(D269*(1+E269/30),1),0)</f>
        <v>0</v>
      </c>
    </row>
    <row r="270" customFormat="false" ht="15" hidden="false" customHeight="true" outlineLevel="0" collapsed="false">
      <c r="A270" s="25"/>
      <c r="B270" s="26"/>
      <c r="C270" s="27"/>
      <c r="D270" s="26"/>
      <c r="E270" s="26"/>
      <c r="F270" s="26"/>
      <c r="G270" s="27"/>
      <c r="H270" s="28" t="n">
        <f aca="false">IF(AND(ISNUMBER(D270),ISNUMBER(E270)),D270*E270,0)</f>
        <v>0</v>
      </c>
      <c r="I270" s="29" t="n">
        <f aca="false">IF(AND(ISNUMBER(D270),ISNUMBER(E270),E270&gt;0),ROUND(D270*(1+E270/30),1),0)</f>
        <v>0</v>
      </c>
    </row>
    <row r="271" customFormat="false" ht="15" hidden="false" customHeight="true" outlineLevel="0" collapsed="false">
      <c r="A271" s="25"/>
      <c r="B271" s="26"/>
      <c r="C271" s="27"/>
      <c r="D271" s="26"/>
      <c r="E271" s="26"/>
      <c r="F271" s="26"/>
      <c r="G271" s="27"/>
      <c r="H271" s="28" t="n">
        <f aca="false">IF(AND(ISNUMBER(D271),ISNUMBER(E271)),D271*E271,0)</f>
        <v>0</v>
      </c>
      <c r="I271" s="29" t="n">
        <f aca="false">IF(AND(ISNUMBER(D271),ISNUMBER(E271),E271&gt;0),ROUND(D271*(1+E271/30),1),0)</f>
        <v>0</v>
      </c>
    </row>
    <row r="272" customFormat="false" ht="15" hidden="false" customHeight="true" outlineLevel="0" collapsed="false">
      <c r="A272" s="25"/>
      <c r="B272" s="26"/>
      <c r="C272" s="27"/>
      <c r="D272" s="26"/>
      <c r="E272" s="26"/>
      <c r="F272" s="26"/>
      <c r="G272" s="27"/>
      <c r="H272" s="28" t="n">
        <f aca="false">IF(AND(ISNUMBER(D272),ISNUMBER(E272)),D272*E272,0)</f>
        <v>0</v>
      </c>
      <c r="I272" s="29" t="n">
        <f aca="false">IF(AND(ISNUMBER(D272),ISNUMBER(E272),E272&gt;0),ROUND(D272*(1+E272/30),1),0)</f>
        <v>0</v>
      </c>
    </row>
    <row r="273" customFormat="false" ht="15" hidden="false" customHeight="true" outlineLevel="0" collapsed="false">
      <c r="A273" s="25"/>
      <c r="B273" s="26"/>
      <c r="C273" s="27"/>
      <c r="D273" s="26"/>
      <c r="E273" s="26"/>
      <c r="F273" s="26"/>
      <c r="G273" s="27"/>
      <c r="H273" s="28" t="n">
        <f aca="false">IF(AND(ISNUMBER(D273),ISNUMBER(E273)),D273*E273,0)</f>
        <v>0</v>
      </c>
      <c r="I273" s="29" t="n">
        <f aca="false">IF(AND(ISNUMBER(D273),ISNUMBER(E273),E273&gt;0),ROUND(D273*(1+E273/30),1),0)</f>
        <v>0</v>
      </c>
    </row>
    <row r="274" customFormat="false" ht="15" hidden="false" customHeight="true" outlineLevel="0" collapsed="false">
      <c r="A274" s="25"/>
      <c r="B274" s="26"/>
      <c r="C274" s="27"/>
      <c r="D274" s="26"/>
      <c r="E274" s="26"/>
      <c r="F274" s="26"/>
      <c r="G274" s="27"/>
      <c r="H274" s="28" t="n">
        <f aca="false">IF(AND(ISNUMBER(D274),ISNUMBER(E274)),D274*E274,0)</f>
        <v>0</v>
      </c>
      <c r="I274" s="29" t="n">
        <f aca="false">IF(AND(ISNUMBER(D274),ISNUMBER(E274),E274&gt;0),ROUND(D274*(1+E274/30),1),0)</f>
        <v>0</v>
      </c>
    </row>
    <row r="275" customFormat="false" ht="15" hidden="false" customHeight="true" outlineLevel="0" collapsed="false">
      <c r="A275" s="25"/>
      <c r="B275" s="26"/>
      <c r="C275" s="27"/>
      <c r="D275" s="26"/>
      <c r="E275" s="26"/>
      <c r="F275" s="26"/>
      <c r="G275" s="27"/>
      <c r="H275" s="28" t="n">
        <f aca="false">IF(AND(ISNUMBER(D275),ISNUMBER(E275)),D275*E275,0)</f>
        <v>0</v>
      </c>
      <c r="I275" s="29" t="n">
        <f aca="false">IF(AND(ISNUMBER(D275),ISNUMBER(E275),E275&gt;0),ROUND(D275*(1+E275/30),1),0)</f>
        <v>0</v>
      </c>
    </row>
    <row r="276" customFormat="false" ht="15" hidden="false" customHeight="true" outlineLevel="0" collapsed="false">
      <c r="A276" s="25"/>
      <c r="B276" s="26"/>
      <c r="C276" s="27"/>
      <c r="D276" s="26"/>
      <c r="E276" s="26"/>
      <c r="F276" s="26"/>
      <c r="G276" s="27"/>
      <c r="H276" s="28" t="n">
        <f aca="false">IF(AND(ISNUMBER(D276),ISNUMBER(E276)),D276*E276,0)</f>
        <v>0</v>
      </c>
      <c r="I276" s="29" t="n">
        <f aca="false">IF(AND(ISNUMBER(D276),ISNUMBER(E276),E276&gt;0),ROUND(D276*(1+E276/30),1),0)</f>
        <v>0</v>
      </c>
    </row>
    <row r="277" customFormat="false" ht="15" hidden="false" customHeight="true" outlineLevel="0" collapsed="false">
      <c r="A277" s="25"/>
      <c r="B277" s="26"/>
      <c r="C277" s="27"/>
      <c r="D277" s="26"/>
      <c r="E277" s="26"/>
      <c r="F277" s="26"/>
      <c r="G277" s="27"/>
      <c r="H277" s="28" t="n">
        <f aca="false">IF(AND(ISNUMBER(D277),ISNUMBER(E277)),D277*E277,0)</f>
        <v>0</v>
      </c>
      <c r="I277" s="29" t="n">
        <f aca="false">IF(AND(ISNUMBER(D277),ISNUMBER(E277),E277&gt;0),ROUND(D277*(1+E277/30),1),0)</f>
        <v>0</v>
      </c>
    </row>
    <row r="278" customFormat="false" ht="15" hidden="false" customHeight="true" outlineLevel="0" collapsed="false">
      <c r="A278" s="25"/>
      <c r="B278" s="26"/>
      <c r="C278" s="27"/>
      <c r="D278" s="26"/>
      <c r="E278" s="26"/>
      <c r="F278" s="26"/>
      <c r="G278" s="27"/>
      <c r="H278" s="28" t="n">
        <f aca="false">IF(AND(ISNUMBER(D278),ISNUMBER(E278)),D278*E278,0)</f>
        <v>0</v>
      </c>
      <c r="I278" s="29" t="n">
        <f aca="false">IF(AND(ISNUMBER(D278),ISNUMBER(E278),E278&gt;0),ROUND(D278*(1+E278/30),1),0)</f>
        <v>0</v>
      </c>
    </row>
    <row r="279" customFormat="false" ht="15" hidden="false" customHeight="true" outlineLevel="0" collapsed="false">
      <c r="A279" s="25"/>
      <c r="B279" s="26"/>
      <c r="C279" s="27"/>
      <c r="D279" s="26"/>
      <c r="E279" s="26"/>
      <c r="F279" s="26"/>
      <c r="G279" s="27"/>
      <c r="H279" s="28" t="n">
        <f aca="false">IF(AND(ISNUMBER(D279),ISNUMBER(E279)),D279*E279,0)</f>
        <v>0</v>
      </c>
      <c r="I279" s="29" t="n">
        <f aca="false">IF(AND(ISNUMBER(D279),ISNUMBER(E279),E279&gt;0),ROUND(D279*(1+E279/30),1),0)</f>
        <v>0</v>
      </c>
    </row>
    <row r="280" customFormat="false" ht="15" hidden="false" customHeight="true" outlineLevel="0" collapsed="false">
      <c r="A280" s="25"/>
      <c r="B280" s="26"/>
      <c r="C280" s="27"/>
      <c r="D280" s="26"/>
      <c r="E280" s="26"/>
      <c r="F280" s="26"/>
      <c r="G280" s="27"/>
      <c r="H280" s="28" t="n">
        <f aca="false">IF(AND(ISNUMBER(D280),ISNUMBER(E280)),D280*E280,0)</f>
        <v>0</v>
      </c>
      <c r="I280" s="29" t="n">
        <f aca="false">IF(AND(ISNUMBER(D280),ISNUMBER(E280),E280&gt;0),ROUND(D280*(1+E280/30),1),0)</f>
        <v>0</v>
      </c>
    </row>
    <row r="281" customFormat="false" ht="15" hidden="false" customHeight="true" outlineLevel="0" collapsed="false">
      <c r="A281" s="25"/>
      <c r="B281" s="26"/>
      <c r="C281" s="27"/>
      <c r="D281" s="26"/>
      <c r="E281" s="26"/>
      <c r="F281" s="26"/>
      <c r="G281" s="27"/>
      <c r="H281" s="28" t="n">
        <f aca="false">IF(AND(ISNUMBER(D281),ISNUMBER(E281)),D281*E281,0)</f>
        <v>0</v>
      </c>
      <c r="I281" s="29" t="n">
        <f aca="false">IF(AND(ISNUMBER(D281),ISNUMBER(E281),E281&gt;0),ROUND(D281*(1+E281/30),1),0)</f>
        <v>0</v>
      </c>
    </row>
    <row r="282" customFormat="false" ht="15" hidden="false" customHeight="true" outlineLevel="0" collapsed="false">
      <c r="A282" s="25"/>
      <c r="B282" s="26"/>
      <c r="C282" s="27"/>
      <c r="D282" s="26"/>
      <c r="E282" s="26"/>
      <c r="F282" s="26"/>
      <c r="G282" s="27"/>
      <c r="H282" s="28" t="n">
        <f aca="false">IF(AND(ISNUMBER(D282),ISNUMBER(E282)),D282*E282,0)</f>
        <v>0</v>
      </c>
      <c r="I282" s="29" t="n">
        <f aca="false">IF(AND(ISNUMBER(D282),ISNUMBER(E282),E282&gt;0),ROUND(D282*(1+E282/30),1),0)</f>
        <v>0</v>
      </c>
    </row>
    <row r="283" customFormat="false" ht="15" hidden="false" customHeight="true" outlineLevel="0" collapsed="false">
      <c r="A283" s="25"/>
      <c r="B283" s="26"/>
      <c r="C283" s="27"/>
      <c r="D283" s="26"/>
      <c r="E283" s="26"/>
      <c r="F283" s="26"/>
      <c r="G283" s="27"/>
      <c r="H283" s="28" t="n">
        <f aca="false">IF(AND(ISNUMBER(D283),ISNUMBER(E283)),D283*E283,0)</f>
        <v>0</v>
      </c>
      <c r="I283" s="29" t="n">
        <f aca="false">IF(AND(ISNUMBER(D283),ISNUMBER(E283),E283&gt;0),ROUND(D283*(1+E283/30),1),0)</f>
        <v>0</v>
      </c>
    </row>
    <row r="284" customFormat="false" ht="15" hidden="false" customHeight="true" outlineLevel="0" collapsed="false">
      <c r="A284" s="25"/>
      <c r="B284" s="26"/>
      <c r="C284" s="27"/>
      <c r="D284" s="26"/>
      <c r="E284" s="26"/>
      <c r="F284" s="26"/>
      <c r="G284" s="27"/>
      <c r="H284" s="28" t="n">
        <f aca="false">IF(AND(ISNUMBER(D284),ISNUMBER(E284)),D284*E284,0)</f>
        <v>0</v>
      </c>
      <c r="I284" s="29" t="n">
        <f aca="false">IF(AND(ISNUMBER(D284),ISNUMBER(E284),E284&gt;0),ROUND(D284*(1+E284/30),1),0)</f>
        <v>0</v>
      </c>
    </row>
    <row r="285" customFormat="false" ht="15" hidden="false" customHeight="true" outlineLevel="0" collapsed="false">
      <c r="A285" s="25"/>
      <c r="B285" s="26"/>
      <c r="C285" s="27"/>
      <c r="D285" s="26"/>
      <c r="E285" s="26"/>
      <c r="F285" s="26"/>
      <c r="G285" s="27"/>
      <c r="H285" s="28" t="n">
        <f aca="false">IF(AND(ISNUMBER(D285),ISNUMBER(E285)),D285*E285,0)</f>
        <v>0</v>
      </c>
      <c r="I285" s="29" t="n">
        <f aca="false">IF(AND(ISNUMBER(D285),ISNUMBER(E285),E285&gt;0),ROUND(D285*(1+E285/30),1),0)</f>
        <v>0</v>
      </c>
    </row>
    <row r="286" customFormat="false" ht="15" hidden="false" customHeight="true" outlineLevel="0" collapsed="false">
      <c r="A286" s="25"/>
      <c r="B286" s="26"/>
      <c r="C286" s="27"/>
      <c r="D286" s="26"/>
      <c r="E286" s="26"/>
      <c r="F286" s="26"/>
      <c r="G286" s="27"/>
      <c r="H286" s="28" t="n">
        <f aca="false">IF(AND(ISNUMBER(D286),ISNUMBER(E286)),D286*E286,0)</f>
        <v>0</v>
      </c>
      <c r="I286" s="29" t="n">
        <f aca="false">IF(AND(ISNUMBER(D286),ISNUMBER(E286),E286&gt;0),ROUND(D286*(1+E286/30),1),0)</f>
        <v>0</v>
      </c>
    </row>
    <row r="287" customFormat="false" ht="15" hidden="false" customHeight="true" outlineLevel="0" collapsed="false">
      <c r="A287" s="25"/>
      <c r="B287" s="26"/>
      <c r="C287" s="27"/>
      <c r="D287" s="26"/>
      <c r="E287" s="26"/>
      <c r="F287" s="26"/>
      <c r="G287" s="27"/>
      <c r="H287" s="28" t="n">
        <f aca="false">IF(AND(ISNUMBER(D287),ISNUMBER(E287)),D287*E287,0)</f>
        <v>0</v>
      </c>
      <c r="I287" s="29" t="n">
        <f aca="false">IF(AND(ISNUMBER(D287),ISNUMBER(E287),E287&gt;0),ROUND(D287*(1+E287/30),1),0)</f>
        <v>0</v>
      </c>
    </row>
    <row r="288" customFormat="false" ht="15" hidden="false" customHeight="true" outlineLevel="0" collapsed="false">
      <c r="A288" s="25"/>
      <c r="B288" s="26"/>
      <c r="C288" s="27"/>
      <c r="D288" s="26"/>
      <c r="E288" s="26"/>
      <c r="F288" s="26"/>
      <c r="G288" s="27"/>
      <c r="H288" s="28" t="n">
        <f aca="false">IF(AND(ISNUMBER(D288),ISNUMBER(E288)),D288*E288,0)</f>
        <v>0</v>
      </c>
      <c r="I288" s="29" t="n">
        <f aca="false">IF(AND(ISNUMBER(D288),ISNUMBER(E288),E288&gt;0),ROUND(D288*(1+E288/30),1),0)</f>
        <v>0</v>
      </c>
    </row>
    <row r="289" customFormat="false" ht="15" hidden="false" customHeight="true" outlineLevel="0" collapsed="false">
      <c r="A289" s="25"/>
      <c r="B289" s="26"/>
      <c r="C289" s="27"/>
      <c r="D289" s="26"/>
      <c r="E289" s="26"/>
      <c r="F289" s="26"/>
      <c r="G289" s="27"/>
      <c r="H289" s="28" t="n">
        <f aca="false">IF(AND(ISNUMBER(D289),ISNUMBER(E289)),D289*E289,0)</f>
        <v>0</v>
      </c>
      <c r="I289" s="29" t="n">
        <f aca="false">IF(AND(ISNUMBER(D289),ISNUMBER(E289),E289&gt;0),ROUND(D289*(1+E289/30),1),0)</f>
        <v>0</v>
      </c>
    </row>
    <row r="290" customFormat="false" ht="15" hidden="false" customHeight="true" outlineLevel="0" collapsed="false">
      <c r="A290" s="25"/>
      <c r="B290" s="26"/>
      <c r="C290" s="27"/>
      <c r="D290" s="26"/>
      <c r="E290" s="26"/>
      <c r="F290" s="26"/>
      <c r="G290" s="27"/>
      <c r="H290" s="28" t="n">
        <f aca="false">IF(AND(ISNUMBER(D290),ISNUMBER(E290)),D290*E290,0)</f>
        <v>0</v>
      </c>
      <c r="I290" s="29" t="n">
        <f aca="false">IF(AND(ISNUMBER(D290),ISNUMBER(E290),E290&gt;0),ROUND(D290*(1+E290/30),1),0)</f>
        <v>0</v>
      </c>
    </row>
    <row r="291" customFormat="false" ht="15" hidden="false" customHeight="true" outlineLevel="0" collapsed="false">
      <c r="A291" s="25"/>
      <c r="B291" s="26"/>
      <c r="C291" s="27"/>
      <c r="D291" s="26"/>
      <c r="E291" s="26"/>
      <c r="F291" s="26"/>
      <c r="G291" s="27"/>
      <c r="H291" s="28" t="n">
        <f aca="false">IF(AND(ISNUMBER(D291),ISNUMBER(E291)),D291*E291,0)</f>
        <v>0</v>
      </c>
      <c r="I291" s="29" t="n">
        <f aca="false">IF(AND(ISNUMBER(D291),ISNUMBER(E291),E291&gt;0),ROUND(D291*(1+E291/30),1),0)</f>
        <v>0</v>
      </c>
    </row>
    <row r="292" customFormat="false" ht="15" hidden="false" customHeight="true" outlineLevel="0" collapsed="false">
      <c r="A292" s="25"/>
      <c r="B292" s="26"/>
      <c r="C292" s="27"/>
      <c r="D292" s="26"/>
      <c r="E292" s="26"/>
      <c r="F292" s="26"/>
      <c r="G292" s="27"/>
      <c r="H292" s="28" t="n">
        <f aca="false">IF(AND(ISNUMBER(D292),ISNUMBER(E292)),D292*E292,0)</f>
        <v>0</v>
      </c>
      <c r="I292" s="29" t="n">
        <f aca="false">IF(AND(ISNUMBER(D292),ISNUMBER(E292),E292&gt;0),ROUND(D292*(1+E292/30),1),0)</f>
        <v>0</v>
      </c>
    </row>
    <row r="293" customFormat="false" ht="15" hidden="false" customHeight="true" outlineLevel="0" collapsed="false">
      <c r="A293" s="25"/>
      <c r="B293" s="26"/>
      <c r="C293" s="27"/>
      <c r="D293" s="26"/>
      <c r="E293" s="26"/>
      <c r="F293" s="26"/>
      <c r="G293" s="27"/>
      <c r="H293" s="28" t="n">
        <f aca="false">IF(AND(ISNUMBER(D293),ISNUMBER(E293)),D293*E293,0)</f>
        <v>0</v>
      </c>
      <c r="I293" s="29" t="n">
        <f aca="false">IF(AND(ISNUMBER(D293),ISNUMBER(E293),E293&gt;0),ROUND(D293*(1+E293/30),1),0)</f>
        <v>0</v>
      </c>
    </row>
    <row r="294" customFormat="false" ht="15" hidden="false" customHeight="true" outlineLevel="0" collapsed="false">
      <c r="A294" s="25"/>
      <c r="B294" s="26"/>
      <c r="C294" s="27"/>
      <c r="D294" s="26"/>
      <c r="E294" s="26"/>
      <c r="F294" s="26"/>
      <c r="G294" s="27"/>
      <c r="H294" s="28" t="n">
        <f aca="false">IF(AND(ISNUMBER(D294),ISNUMBER(E294)),D294*E294,0)</f>
        <v>0</v>
      </c>
      <c r="I294" s="29" t="n">
        <f aca="false">IF(AND(ISNUMBER(D294),ISNUMBER(E294),E294&gt;0),ROUND(D294*(1+E294/30),1),0)</f>
        <v>0</v>
      </c>
    </row>
    <row r="295" customFormat="false" ht="15" hidden="false" customHeight="true" outlineLevel="0" collapsed="false">
      <c r="A295" s="25"/>
      <c r="B295" s="26"/>
      <c r="C295" s="27"/>
      <c r="D295" s="26"/>
      <c r="E295" s="26"/>
      <c r="F295" s="26"/>
      <c r="G295" s="27"/>
      <c r="H295" s="28" t="n">
        <f aca="false">IF(AND(ISNUMBER(D295),ISNUMBER(E295)),D295*E295,0)</f>
        <v>0</v>
      </c>
      <c r="I295" s="29" t="n">
        <f aca="false">IF(AND(ISNUMBER(D295),ISNUMBER(E295),E295&gt;0),ROUND(D295*(1+E295/30),1),0)</f>
        <v>0</v>
      </c>
    </row>
    <row r="296" customFormat="false" ht="15" hidden="false" customHeight="true" outlineLevel="0" collapsed="false">
      <c r="A296" s="25"/>
      <c r="B296" s="26"/>
      <c r="C296" s="27"/>
      <c r="D296" s="26"/>
      <c r="E296" s="26"/>
      <c r="F296" s="26"/>
      <c r="G296" s="27"/>
      <c r="H296" s="28" t="n">
        <f aca="false">IF(AND(ISNUMBER(D296),ISNUMBER(E296)),D296*E296,0)</f>
        <v>0</v>
      </c>
      <c r="I296" s="29" t="n">
        <f aca="false">IF(AND(ISNUMBER(D296),ISNUMBER(E296),E296&gt;0),ROUND(D296*(1+E296/30),1),0)</f>
        <v>0</v>
      </c>
    </row>
    <row r="297" customFormat="false" ht="15" hidden="false" customHeight="true" outlineLevel="0" collapsed="false">
      <c r="A297" s="25"/>
      <c r="B297" s="26"/>
      <c r="C297" s="27"/>
      <c r="D297" s="26"/>
      <c r="E297" s="26"/>
      <c r="F297" s="26"/>
      <c r="G297" s="27"/>
      <c r="H297" s="28" t="n">
        <f aca="false">IF(AND(ISNUMBER(D297),ISNUMBER(E297)),D297*E297,0)</f>
        <v>0</v>
      </c>
      <c r="I297" s="29" t="n">
        <f aca="false">IF(AND(ISNUMBER(D297),ISNUMBER(E297),E297&gt;0),ROUND(D297*(1+E297/30),1),0)</f>
        <v>0</v>
      </c>
    </row>
    <row r="298" customFormat="false" ht="15" hidden="false" customHeight="true" outlineLevel="0" collapsed="false">
      <c r="A298" s="25"/>
      <c r="B298" s="26"/>
      <c r="C298" s="27"/>
      <c r="D298" s="26"/>
      <c r="E298" s="26"/>
      <c r="F298" s="26"/>
      <c r="G298" s="27"/>
      <c r="H298" s="28" t="n">
        <f aca="false">IF(AND(ISNUMBER(D298),ISNUMBER(E298)),D298*E298,0)</f>
        <v>0</v>
      </c>
      <c r="I298" s="29" t="n">
        <f aca="false">IF(AND(ISNUMBER(D298),ISNUMBER(E298),E298&gt;0),ROUND(D298*(1+E298/30),1),0)</f>
        <v>0</v>
      </c>
    </row>
    <row r="299" customFormat="false" ht="15" hidden="false" customHeight="true" outlineLevel="0" collapsed="false">
      <c r="A299" s="25"/>
      <c r="B299" s="26"/>
      <c r="C299" s="27"/>
      <c r="D299" s="26"/>
      <c r="E299" s="26"/>
      <c r="F299" s="26"/>
      <c r="G299" s="27"/>
      <c r="H299" s="28" t="n">
        <f aca="false">IF(AND(ISNUMBER(D299),ISNUMBER(E299)),D299*E299,0)</f>
        <v>0</v>
      </c>
      <c r="I299" s="29" t="n">
        <f aca="false">IF(AND(ISNUMBER(D299),ISNUMBER(E299),E299&gt;0),ROUND(D299*(1+E299/30),1),0)</f>
        <v>0</v>
      </c>
    </row>
    <row r="300" customFormat="false" ht="15" hidden="false" customHeight="true" outlineLevel="0" collapsed="false">
      <c r="A300" s="25"/>
      <c r="B300" s="26"/>
      <c r="C300" s="27"/>
      <c r="D300" s="26"/>
      <c r="E300" s="26"/>
      <c r="F300" s="26"/>
      <c r="G300" s="27"/>
      <c r="H300" s="28" t="n">
        <f aca="false">IF(AND(ISNUMBER(D300),ISNUMBER(E300)),D300*E300,0)</f>
        <v>0</v>
      </c>
      <c r="I300" s="29" t="n">
        <f aca="false">IF(AND(ISNUMBER(D300),ISNUMBER(E300),E300&gt;0),ROUND(D300*(1+E300/30),1),0)</f>
        <v>0</v>
      </c>
    </row>
    <row r="301" customFormat="false" ht="15" hidden="false" customHeight="true" outlineLevel="0" collapsed="false">
      <c r="A301" s="25"/>
      <c r="B301" s="26"/>
      <c r="C301" s="27"/>
      <c r="D301" s="26"/>
      <c r="E301" s="26"/>
      <c r="F301" s="26"/>
      <c r="G301" s="27"/>
      <c r="H301" s="28" t="n">
        <f aca="false">IF(AND(ISNUMBER(D301),ISNUMBER(E301)),D301*E301,0)</f>
        <v>0</v>
      </c>
      <c r="I301" s="29" t="n">
        <f aca="false">IF(AND(ISNUMBER(D301),ISNUMBER(E301),E301&gt;0),ROUND(D301*(1+E301/30),1),0)</f>
        <v>0</v>
      </c>
    </row>
    <row r="302" customFormat="false" ht="15" hidden="false" customHeight="true" outlineLevel="0" collapsed="false">
      <c r="A302" s="25"/>
      <c r="B302" s="26"/>
      <c r="C302" s="27"/>
      <c r="D302" s="26"/>
      <c r="E302" s="26"/>
      <c r="F302" s="26"/>
      <c r="G302" s="27"/>
      <c r="H302" s="28" t="n">
        <f aca="false">IF(AND(ISNUMBER(D302),ISNUMBER(E302)),D302*E302,0)</f>
        <v>0</v>
      </c>
      <c r="I302" s="29" t="n">
        <f aca="false">IF(AND(ISNUMBER(D302),ISNUMBER(E302),E302&gt;0),ROUND(D302*(1+E302/30),1),0)</f>
        <v>0</v>
      </c>
    </row>
    <row r="303" customFormat="false" ht="15" hidden="false" customHeight="true" outlineLevel="0" collapsed="false">
      <c r="A303" s="25"/>
      <c r="B303" s="26"/>
      <c r="C303" s="27"/>
      <c r="D303" s="26"/>
      <c r="E303" s="26"/>
      <c r="F303" s="26"/>
      <c r="G303" s="27"/>
      <c r="H303" s="28" t="n">
        <f aca="false">IF(AND(ISNUMBER(D303),ISNUMBER(E303)),D303*E303,0)</f>
        <v>0</v>
      </c>
      <c r="I303" s="29" t="n">
        <f aca="false">IF(AND(ISNUMBER(D303),ISNUMBER(E303),E303&gt;0),ROUND(D303*(1+E303/30),1),0)</f>
        <v>0</v>
      </c>
    </row>
    <row r="304" customFormat="false" ht="15" hidden="false" customHeight="true" outlineLevel="0" collapsed="false">
      <c r="A304" s="25"/>
      <c r="B304" s="26"/>
      <c r="C304" s="27"/>
      <c r="D304" s="26"/>
      <c r="E304" s="26"/>
      <c r="F304" s="26"/>
      <c r="G304" s="27"/>
      <c r="H304" s="28" t="n">
        <f aca="false">IF(AND(ISNUMBER(D304),ISNUMBER(E304)),D304*E304,0)</f>
        <v>0</v>
      </c>
      <c r="I304" s="29" t="n">
        <f aca="false">IF(AND(ISNUMBER(D304),ISNUMBER(E304),E304&gt;0),ROUND(D304*(1+E304/30),1),0)</f>
        <v>0</v>
      </c>
    </row>
    <row r="305" customFormat="false" ht="15" hidden="false" customHeight="true" outlineLevel="0" collapsed="false">
      <c r="A305" s="25"/>
      <c r="B305" s="26"/>
      <c r="C305" s="27"/>
      <c r="D305" s="26"/>
      <c r="E305" s="26"/>
      <c r="F305" s="26"/>
      <c r="G305" s="27"/>
      <c r="H305" s="28" t="n">
        <f aca="false">IF(AND(ISNUMBER(D305),ISNUMBER(E305)),D305*E305,0)</f>
        <v>0</v>
      </c>
      <c r="I305" s="29" t="n">
        <f aca="false">IF(AND(ISNUMBER(D305),ISNUMBER(E305),E305&gt;0),ROUND(D305*(1+E305/30),1),0)</f>
        <v>0</v>
      </c>
    </row>
    <row r="306" customFormat="false" ht="15" hidden="false" customHeight="true" outlineLevel="0" collapsed="false">
      <c r="A306" s="25"/>
      <c r="B306" s="26"/>
      <c r="C306" s="27"/>
      <c r="D306" s="26"/>
      <c r="E306" s="26"/>
      <c r="F306" s="26"/>
      <c r="G306" s="27"/>
      <c r="H306" s="28" t="n">
        <f aca="false">IF(AND(ISNUMBER(D306),ISNUMBER(E306)),D306*E306,0)</f>
        <v>0</v>
      </c>
      <c r="I306" s="29" t="n">
        <f aca="false">IF(AND(ISNUMBER(D306),ISNUMBER(E306),E306&gt;0),ROUND(D306*(1+E306/30),1),0)</f>
        <v>0</v>
      </c>
    </row>
    <row r="307" customFormat="false" ht="15" hidden="false" customHeight="true" outlineLevel="0" collapsed="false">
      <c r="A307" s="25"/>
      <c r="B307" s="26"/>
      <c r="C307" s="27"/>
      <c r="D307" s="26"/>
      <c r="E307" s="26"/>
      <c r="F307" s="26"/>
      <c r="G307" s="27"/>
      <c r="H307" s="28" t="n">
        <f aca="false">IF(AND(ISNUMBER(D307),ISNUMBER(E307)),D307*E307,0)</f>
        <v>0</v>
      </c>
      <c r="I307" s="29" t="n">
        <f aca="false">IF(AND(ISNUMBER(D307),ISNUMBER(E307),E307&gt;0),ROUND(D307*(1+E307/30),1),0)</f>
        <v>0</v>
      </c>
    </row>
    <row r="308" customFormat="false" ht="15" hidden="false" customHeight="true" outlineLevel="0" collapsed="false">
      <c r="A308" s="25"/>
      <c r="B308" s="26"/>
      <c r="C308" s="27"/>
      <c r="D308" s="26"/>
      <c r="E308" s="26"/>
      <c r="F308" s="26"/>
      <c r="G308" s="27"/>
      <c r="H308" s="28" t="n">
        <f aca="false">IF(AND(ISNUMBER(D308),ISNUMBER(E308)),D308*E308,0)</f>
        <v>0</v>
      </c>
      <c r="I308" s="29" t="n">
        <f aca="false">IF(AND(ISNUMBER(D308),ISNUMBER(E308),E308&gt;0),ROUND(D308*(1+E308/30),1),0)</f>
        <v>0</v>
      </c>
    </row>
    <row r="309" customFormat="false" ht="15" hidden="false" customHeight="true" outlineLevel="0" collapsed="false">
      <c r="A309" s="25"/>
      <c r="B309" s="26"/>
      <c r="C309" s="27"/>
      <c r="D309" s="26"/>
      <c r="E309" s="26"/>
      <c r="F309" s="26"/>
      <c r="G309" s="27"/>
      <c r="H309" s="28" t="n">
        <f aca="false">IF(AND(ISNUMBER(D309),ISNUMBER(E309)),D309*E309,0)</f>
        <v>0</v>
      </c>
      <c r="I309" s="29" t="n">
        <f aca="false">IF(AND(ISNUMBER(D309),ISNUMBER(E309),E309&gt;0),ROUND(D309*(1+E309/30),1),0)</f>
        <v>0</v>
      </c>
    </row>
    <row r="310" customFormat="false" ht="15" hidden="false" customHeight="true" outlineLevel="0" collapsed="false">
      <c r="A310" s="25"/>
      <c r="B310" s="26"/>
      <c r="C310" s="27"/>
      <c r="D310" s="26"/>
      <c r="E310" s="26"/>
      <c r="F310" s="26"/>
      <c r="G310" s="27"/>
      <c r="H310" s="28" t="n">
        <f aca="false">IF(AND(ISNUMBER(D310),ISNUMBER(E310)),D310*E310,0)</f>
        <v>0</v>
      </c>
      <c r="I310" s="29" t="n">
        <f aca="false">IF(AND(ISNUMBER(D310),ISNUMBER(E310),E310&gt;0),ROUND(D310*(1+E310/30),1),0)</f>
        <v>0</v>
      </c>
    </row>
    <row r="311" customFormat="false" ht="15" hidden="false" customHeight="true" outlineLevel="0" collapsed="false">
      <c r="A311" s="25"/>
      <c r="B311" s="26"/>
      <c r="C311" s="27"/>
      <c r="D311" s="26"/>
      <c r="E311" s="26"/>
      <c r="F311" s="26"/>
      <c r="G311" s="27"/>
      <c r="H311" s="28" t="n">
        <f aca="false">IF(AND(ISNUMBER(D311),ISNUMBER(E311)),D311*E311,0)</f>
        <v>0</v>
      </c>
      <c r="I311" s="29" t="n">
        <f aca="false">IF(AND(ISNUMBER(D311),ISNUMBER(E311),E311&gt;0),ROUND(D311*(1+E311/30),1),0)</f>
        <v>0</v>
      </c>
    </row>
    <row r="312" customFormat="false" ht="15" hidden="false" customHeight="true" outlineLevel="0" collapsed="false">
      <c r="A312" s="25"/>
      <c r="B312" s="26"/>
      <c r="C312" s="27"/>
      <c r="D312" s="26"/>
      <c r="E312" s="26"/>
      <c r="F312" s="26"/>
      <c r="G312" s="27"/>
      <c r="H312" s="28" t="n">
        <f aca="false">IF(AND(ISNUMBER(D312),ISNUMBER(E312)),D312*E312,0)</f>
        <v>0</v>
      </c>
      <c r="I312" s="29" t="n">
        <f aca="false">IF(AND(ISNUMBER(D312),ISNUMBER(E312),E312&gt;0),ROUND(D312*(1+E312/30),1),0)</f>
        <v>0</v>
      </c>
    </row>
    <row r="313" customFormat="false" ht="15" hidden="false" customHeight="true" outlineLevel="0" collapsed="false">
      <c r="A313" s="25"/>
      <c r="B313" s="26"/>
      <c r="C313" s="27"/>
      <c r="D313" s="26"/>
      <c r="E313" s="26"/>
      <c r="F313" s="26"/>
      <c r="G313" s="27"/>
      <c r="H313" s="28" t="n">
        <f aca="false">IF(AND(ISNUMBER(D313),ISNUMBER(E313)),D313*E313,0)</f>
        <v>0</v>
      </c>
      <c r="I313" s="29" t="n">
        <f aca="false">IF(AND(ISNUMBER(D313),ISNUMBER(E313),E313&gt;0),ROUND(D313*(1+E313/30),1),0)</f>
        <v>0</v>
      </c>
    </row>
    <row r="314" customFormat="false" ht="15" hidden="false" customHeight="true" outlineLevel="0" collapsed="false">
      <c r="A314" s="25"/>
      <c r="B314" s="26"/>
      <c r="C314" s="27"/>
      <c r="D314" s="26"/>
      <c r="E314" s="26"/>
      <c r="F314" s="26"/>
      <c r="G314" s="27"/>
      <c r="H314" s="28" t="n">
        <f aca="false">IF(AND(ISNUMBER(D314),ISNUMBER(E314)),D314*E314,0)</f>
        <v>0</v>
      </c>
      <c r="I314" s="29" t="n">
        <f aca="false">IF(AND(ISNUMBER(D314),ISNUMBER(E314),E314&gt;0),ROUND(D314*(1+E314/30),1),0)</f>
        <v>0</v>
      </c>
    </row>
    <row r="315" customFormat="false" ht="15" hidden="false" customHeight="true" outlineLevel="0" collapsed="false">
      <c r="A315" s="25"/>
      <c r="B315" s="26"/>
      <c r="C315" s="27"/>
      <c r="D315" s="26"/>
      <c r="E315" s="26"/>
      <c r="F315" s="26"/>
      <c r="G315" s="27"/>
      <c r="H315" s="28" t="n">
        <f aca="false">IF(AND(ISNUMBER(D315),ISNUMBER(E315)),D315*E315,0)</f>
        <v>0</v>
      </c>
      <c r="I315" s="29" t="n">
        <f aca="false">IF(AND(ISNUMBER(D315),ISNUMBER(E315),E315&gt;0),ROUND(D315*(1+E315/30),1),0)</f>
        <v>0</v>
      </c>
    </row>
    <row r="316" customFormat="false" ht="15" hidden="false" customHeight="true" outlineLevel="0" collapsed="false">
      <c r="A316" s="25"/>
      <c r="B316" s="26"/>
      <c r="C316" s="27"/>
      <c r="D316" s="26"/>
      <c r="E316" s="26"/>
      <c r="F316" s="26"/>
      <c r="G316" s="27"/>
      <c r="H316" s="28" t="n">
        <f aca="false">IF(AND(ISNUMBER(D316),ISNUMBER(E316)),D316*E316,0)</f>
        <v>0</v>
      </c>
      <c r="I316" s="29" t="n">
        <f aca="false">IF(AND(ISNUMBER(D316),ISNUMBER(E316),E316&gt;0),ROUND(D316*(1+E316/30),1),0)</f>
        <v>0</v>
      </c>
    </row>
    <row r="317" customFormat="false" ht="15" hidden="false" customHeight="true" outlineLevel="0" collapsed="false">
      <c r="A317" s="25"/>
      <c r="B317" s="26"/>
      <c r="C317" s="27"/>
      <c r="D317" s="26"/>
      <c r="E317" s="26"/>
      <c r="F317" s="26"/>
      <c r="G317" s="27"/>
      <c r="H317" s="28" t="n">
        <f aca="false">IF(AND(ISNUMBER(D317),ISNUMBER(E317)),D317*E317,0)</f>
        <v>0</v>
      </c>
      <c r="I317" s="29" t="n">
        <f aca="false">IF(AND(ISNUMBER(D317),ISNUMBER(E317),E317&gt;0),ROUND(D317*(1+E317/30),1),0)</f>
        <v>0</v>
      </c>
    </row>
    <row r="318" customFormat="false" ht="15" hidden="false" customHeight="true" outlineLevel="0" collapsed="false">
      <c r="A318" s="25"/>
      <c r="B318" s="26"/>
      <c r="C318" s="27"/>
      <c r="D318" s="26"/>
      <c r="E318" s="26"/>
      <c r="F318" s="26"/>
      <c r="G318" s="27"/>
      <c r="H318" s="28" t="n">
        <f aca="false">IF(AND(ISNUMBER(D318),ISNUMBER(E318)),D318*E318,0)</f>
        <v>0</v>
      </c>
      <c r="I318" s="29" t="n">
        <f aca="false">IF(AND(ISNUMBER(D318),ISNUMBER(E318),E318&gt;0),ROUND(D318*(1+E318/30),1),0)</f>
        <v>0</v>
      </c>
    </row>
    <row r="319" customFormat="false" ht="15" hidden="false" customHeight="true" outlineLevel="0" collapsed="false">
      <c r="A319" s="25"/>
      <c r="B319" s="26"/>
      <c r="C319" s="27"/>
      <c r="D319" s="26"/>
      <c r="E319" s="26"/>
      <c r="F319" s="26"/>
      <c r="G319" s="27"/>
      <c r="H319" s="28" t="n">
        <f aca="false">IF(AND(ISNUMBER(D319),ISNUMBER(E319)),D319*E319,0)</f>
        <v>0</v>
      </c>
      <c r="I319" s="29" t="n">
        <f aca="false">IF(AND(ISNUMBER(D319),ISNUMBER(E319),E319&gt;0),ROUND(D319*(1+E319/30),1),0)</f>
        <v>0</v>
      </c>
    </row>
    <row r="320" customFormat="false" ht="15" hidden="false" customHeight="true" outlineLevel="0" collapsed="false">
      <c r="A320" s="25"/>
      <c r="B320" s="26"/>
      <c r="C320" s="27"/>
      <c r="D320" s="26"/>
      <c r="E320" s="26"/>
      <c r="F320" s="26"/>
      <c r="G320" s="27"/>
      <c r="H320" s="28" t="n">
        <f aca="false">IF(AND(ISNUMBER(D320),ISNUMBER(E320)),D320*E320,0)</f>
        <v>0</v>
      </c>
      <c r="I320" s="29" t="n">
        <f aca="false">IF(AND(ISNUMBER(D320),ISNUMBER(E320),E320&gt;0),ROUND(D320*(1+E320/30),1),0)</f>
        <v>0</v>
      </c>
    </row>
    <row r="321" customFormat="false" ht="15" hidden="false" customHeight="true" outlineLevel="0" collapsed="false">
      <c r="A321" s="25"/>
      <c r="B321" s="26"/>
      <c r="C321" s="27"/>
      <c r="D321" s="26"/>
      <c r="E321" s="26"/>
      <c r="F321" s="26"/>
      <c r="G321" s="27"/>
      <c r="H321" s="28" t="n">
        <f aca="false">IF(AND(ISNUMBER(D321),ISNUMBER(E321)),D321*E321,0)</f>
        <v>0</v>
      </c>
      <c r="I321" s="29" t="n">
        <f aca="false">IF(AND(ISNUMBER(D321),ISNUMBER(E321),E321&gt;0),ROUND(D321*(1+E321/30),1),0)</f>
        <v>0</v>
      </c>
    </row>
    <row r="322" customFormat="false" ht="15" hidden="false" customHeight="true" outlineLevel="0" collapsed="false">
      <c r="A322" s="25"/>
      <c r="B322" s="26"/>
      <c r="C322" s="27"/>
      <c r="D322" s="26"/>
      <c r="E322" s="26"/>
      <c r="F322" s="26"/>
      <c r="G322" s="27"/>
      <c r="H322" s="28" t="n">
        <f aca="false">IF(AND(ISNUMBER(D322),ISNUMBER(E322)),D322*E322,0)</f>
        <v>0</v>
      </c>
      <c r="I322" s="29" t="n">
        <f aca="false">IF(AND(ISNUMBER(D322),ISNUMBER(E322),E322&gt;0),ROUND(D322*(1+E322/30),1),0)</f>
        <v>0</v>
      </c>
    </row>
    <row r="323" customFormat="false" ht="15" hidden="false" customHeight="true" outlineLevel="0" collapsed="false">
      <c r="A323" s="25"/>
      <c r="B323" s="26"/>
      <c r="C323" s="27"/>
      <c r="D323" s="26"/>
      <c r="E323" s="26"/>
      <c r="F323" s="26"/>
      <c r="G323" s="27"/>
      <c r="H323" s="28" t="n">
        <f aca="false">IF(AND(ISNUMBER(D323),ISNUMBER(E323)),D323*E323,0)</f>
        <v>0</v>
      </c>
      <c r="I323" s="29" t="n">
        <f aca="false">IF(AND(ISNUMBER(D323),ISNUMBER(E323),E323&gt;0),ROUND(D323*(1+E323/30),1),0)</f>
        <v>0</v>
      </c>
    </row>
    <row r="324" customFormat="false" ht="15" hidden="false" customHeight="true" outlineLevel="0" collapsed="false">
      <c r="A324" s="25"/>
      <c r="B324" s="26"/>
      <c r="C324" s="27"/>
      <c r="D324" s="26"/>
      <c r="E324" s="26"/>
      <c r="F324" s="26"/>
      <c r="G324" s="27"/>
      <c r="H324" s="28" t="n">
        <f aca="false">IF(AND(ISNUMBER(D324),ISNUMBER(E324)),D324*E324,0)</f>
        <v>0</v>
      </c>
      <c r="I324" s="29" t="n">
        <f aca="false">IF(AND(ISNUMBER(D324),ISNUMBER(E324),E324&gt;0),ROUND(D324*(1+E324/30),1),0)</f>
        <v>0</v>
      </c>
    </row>
    <row r="325" customFormat="false" ht="15" hidden="false" customHeight="true" outlineLevel="0" collapsed="false">
      <c r="A325" s="25"/>
      <c r="B325" s="26"/>
      <c r="C325" s="27"/>
      <c r="D325" s="26"/>
      <c r="E325" s="26"/>
      <c r="F325" s="26"/>
      <c r="G325" s="27"/>
      <c r="H325" s="28" t="n">
        <f aca="false">IF(AND(ISNUMBER(D325),ISNUMBER(E325)),D325*E325,0)</f>
        <v>0</v>
      </c>
      <c r="I325" s="29" t="n">
        <f aca="false">IF(AND(ISNUMBER(D325),ISNUMBER(E325),E325&gt;0),ROUND(D325*(1+E325/30),1),0)</f>
        <v>0</v>
      </c>
    </row>
    <row r="326" customFormat="false" ht="15" hidden="false" customHeight="true" outlineLevel="0" collapsed="false">
      <c r="A326" s="25"/>
      <c r="B326" s="26"/>
      <c r="C326" s="27"/>
      <c r="D326" s="26"/>
      <c r="E326" s="26"/>
      <c r="F326" s="26"/>
      <c r="G326" s="27"/>
      <c r="H326" s="28" t="n">
        <f aca="false">IF(AND(ISNUMBER(D326),ISNUMBER(E326)),D326*E326,0)</f>
        <v>0</v>
      </c>
      <c r="I326" s="29" t="n">
        <f aca="false">IF(AND(ISNUMBER(D326),ISNUMBER(E326),E326&gt;0),ROUND(D326*(1+E326/30),1),0)</f>
        <v>0</v>
      </c>
    </row>
    <row r="327" customFormat="false" ht="15" hidden="false" customHeight="true" outlineLevel="0" collapsed="false">
      <c r="A327" s="25"/>
      <c r="B327" s="26"/>
      <c r="C327" s="27"/>
      <c r="D327" s="26"/>
      <c r="E327" s="26"/>
      <c r="F327" s="26"/>
      <c r="G327" s="27"/>
      <c r="H327" s="28" t="n">
        <f aca="false">IF(AND(ISNUMBER(D327),ISNUMBER(E327)),D327*E327,0)</f>
        <v>0</v>
      </c>
      <c r="I327" s="29" t="n">
        <f aca="false">IF(AND(ISNUMBER(D327),ISNUMBER(E327),E327&gt;0),ROUND(D327*(1+E327/30),1),0)</f>
        <v>0</v>
      </c>
    </row>
    <row r="328" customFormat="false" ht="15" hidden="false" customHeight="true" outlineLevel="0" collapsed="false">
      <c r="A328" s="25"/>
      <c r="B328" s="26"/>
      <c r="C328" s="27"/>
      <c r="D328" s="26"/>
      <c r="E328" s="26"/>
      <c r="F328" s="26"/>
      <c r="G328" s="27"/>
      <c r="H328" s="28" t="n">
        <f aca="false">IF(AND(ISNUMBER(D328),ISNUMBER(E328)),D328*E328,0)</f>
        <v>0</v>
      </c>
      <c r="I328" s="29" t="n">
        <f aca="false">IF(AND(ISNUMBER(D328),ISNUMBER(E328),E328&gt;0),ROUND(D328*(1+E328/30),1),0)</f>
        <v>0</v>
      </c>
    </row>
    <row r="329" customFormat="false" ht="15" hidden="false" customHeight="true" outlineLevel="0" collapsed="false">
      <c r="A329" s="25"/>
      <c r="B329" s="26"/>
      <c r="C329" s="27"/>
      <c r="D329" s="26"/>
      <c r="E329" s="26"/>
      <c r="F329" s="26"/>
      <c r="G329" s="27"/>
      <c r="H329" s="28" t="n">
        <f aca="false">IF(AND(ISNUMBER(D329),ISNUMBER(E329)),D329*E329,0)</f>
        <v>0</v>
      </c>
      <c r="I329" s="29" t="n">
        <f aca="false">IF(AND(ISNUMBER(D329),ISNUMBER(E329),E329&gt;0),ROUND(D329*(1+E329/30),1),0)</f>
        <v>0</v>
      </c>
    </row>
    <row r="330" customFormat="false" ht="15" hidden="false" customHeight="true" outlineLevel="0" collapsed="false">
      <c r="A330" s="25"/>
      <c r="B330" s="26"/>
      <c r="C330" s="27"/>
      <c r="D330" s="26"/>
      <c r="E330" s="26"/>
      <c r="F330" s="26"/>
      <c r="G330" s="27"/>
      <c r="H330" s="28" t="n">
        <f aca="false">IF(AND(ISNUMBER(D330),ISNUMBER(E330)),D330*E330,0)</f>
        <v>0</v>
      </c>
      <c r="I330" s="29" t="n">
        <f aca="false">IF(AND(ISNUMBER(D330),ISNUMBER(E330),E330&gt;0),ROUND(D330*(1+E330/30),1),0)</f>
        <v>0</v>
      </c>
    </row>
    <row r="331" customFormat="false" ht="15" hidden="false" customHeight="true" outlineLevel="0" collapsed="false">
      <c r="A331" s="25"/>
      <c r="B331" s="26"/>
      <c r="C331" s="27"/>
      <c r="D331" s="26"/>
      <c r="E331" s="26"/>
      <c r="F331" s="26"/>
      <c r="G331" s="27"/>
      <c r="H331" s="28" t="n">
        <f aca="false">IF(AND(ISNUMBER(D331),ISNUMBER(E331)),D331*E331,0)</f>
        <v>0</v>
      </c>
      <c r="I331" s="29" t="n">
        <f aca="false">IF(AND(ISNUMBER(D331),ISNUMBER(E331),E331&gt;0),ROUND(D331*(1+E331/30),1),0)</f>
        <v>0</v>
      </c>
    </row>
    <row r="332" customFormat="false" ht="15" hidden="false" customHeight="true" outlineLevel="0" collapsed="false">
      <c r="A332" s="25"/>
      <c r="B332" s="26"/>
      <c r="C332" s="27"/>
      <c r="D332" s="26"/>
      <c r="E332" s="26"/>
      <c r="F332" s="26"/>
      <c r="G332" s="27"/>
      <c r="H332" s="28" t="n">
        <f aca="false">IF(AND(ISNUMBER(D332),ISNUMBER(E332)),D332*E332,0)</f>
        <v>0</v>
      </c>
      <c r="I332" s="29" t="n">
        <f aca="false">IF(AND(ISNUMBER(D332),ISNUMBER(E332),E332&gt;0),ROUND(D332*(1+E332/30),1),0)</f>
        <v>0</v>
      </c>
    </row>
    <row r="333" customFormat="false" ht="15" hidden="false" customHeight="true" outlineLevel="0" collapsed="false">
      <c r="A333" s="25"/>
      <c r="B333" s="26"/>
      <c r="C333" s="27"/>
      <c r="D333" s="26"/>
      <c r="E333" s="26"/>
      <c r="F333" s="26"/>
      <c r="G333" s="27"/>
      <c r="H333" s="28" t="n">
        <f aca="false">IF(AND(ISNUMBER(D333),ISNUMBER(E333)),D333*E333,0)</f>
        <v>0</v>
      </c>
      <c r="I333" s="29" t="n">
        <f aca="false">IF(AND(ISNUMBER(D333),ISNUMBER(E333),E333&gt;0),ROUND(D333*(1+E333/30),1),0)</f>
        <v>0</v>
      </c>
    </row>
    <row r="334" customFormat="false" ht="15" hidden="false" customHeight="true" outlineLevel="0" collapsed="false">
      <c r="A334" s="25"/>
      <c r="B334" s="26"/>
      <c r="C334" s="27"/>
      <c r="D334" s="26"/>
      <c r="E334" s="26"/>
      <c r="F334" s="26"/>
      <c r="G334" s="27"/>
      <c r="H334" s="28" t="n">
        <f aca="false">IF(AND(ISNUMBER(D334),ISNUMBER(E334)),D334*E334,0)</f>
        <v>0</v>
      </c>
      <c r="I334" s="29" t="n">
        <f aca="false">IF(AND(ISNUMBER(D334),ISNUMBER(E334),E334&gt;0),ROUND(D334*(1+E334/30),1),0)</f>
        <v>0</v>
      </c>
    </row>
    <row r="335" customFormat="false" ht="15" hidden="false" customHeight="true" outlineLevel="0" collapsed="false">
      <c r="A335" s="25"/>
      <c r="B335" s="26"/>
      <c r="C335" s="27"/>
      <c r="D335" s="26"/>
      <c r="E335" s="26"/>
      <c r="F335" s="26"/>
      <c r="G335" s="27"/>
      <c r="H335" s="28" t="n">
        <f aca="false">IF(AND(ISNUMBER(D335),ISNUMBER(E335)),D335*E335,0)</f>
        <v>0</v>
      </c>
      <c r="I335" s="29" t="n">
        <f aca="false">IF(AND(ISNUMBER(D335),ISNUMBER(E335),E335&gt;0),ROUND(D335*(1+E335/30),1),0)</f>
        <v>0</v>
      </c>
    </row>
    <row r="336" customFormat="false" ht="15" hidden="false" customHeight="true" outlineLevel="0" collapsed="false">
      <c r="A336" s="25"/>
      <c r="B336" s="26"/>
      <c r="C336" s="27"/>
      <c r="D336" s="26"/>
      <c r="E336" s="26"/>
      <c r="F336" s="26"/>
      <c r="G336" s="27"/>
      <c r="H336" s="28" t="n">
        <f aca="false">IF(AND(ISNUMBER(D336),ISNUMBER(E336)),D336*E336,0)</f>
        <v>0</v>
      </c>
      <c r="I336" s="29" t="n">
        <f aca="false">IF(AND(ISNUMBER(D336),ISNUMBER(E336),E336&gt;0),ROUND(D336*(1+E336/30),1),0)</f>
        <v>0</v>
      </c>
    </row>
    <row r="337" customFormat="false" ht="15" hidden="false" customHeight="true" outlineLevel="0" collapsed="false">
      <c r="A337" s="25"/>
      <c r="B337" s="26"/>
      <c r="C337" s="27"/>
      <c r="D337" s="26"/>
      <c r="E337" s="26"/>
      <c r="F337" s="26"/>
      <c r="G337" s="27"/>
      <c r="H337" s="28" t="n">
        <f aca="false">IF(AND(ISNUMBER(D337),ISNUMBER(E337)),D337*E337,0)</f>
        <v>0</v>
      </c>
      <c r="I337" s="29" t="n">
        <f aca="false">IF(AND(ISNUMBER(D337),ISNUMBER(E337),E337&gt;0),ROUND(D337*(1+E337/30),1),0)</f>
        <v>0</v>
      </c>
    </row>
    <row r="338" customFormat="false" ht="15" hidden="false" customHeight="true" outlineLevel="0" collapsed="false">
      <c r="A338" s="25"/>
      <c r="B338" s="26"/>
      <c r="C338" s="27"/>
      <c r="D338" s="26"/>
      <c r="E338" s="26"/>
      <c r="F338" s="26"/>
      <c r="G338" s="27"/>
      <c r="H338" s="28" t="n">
        <f aca="false">IF(AND(ISNUMBER(D338),ISNUMBER(E338)),D338*E338,0)</f>
        <v>0</v>
      </c>
      <c r="I338" s="29" t="n">
        <f aca="false">IF(AND(ISNUMBER(D338),ISNUMBER(E338),E338&gt;0),ROUND(D338*(1+E338/30),1),0)</f>
        <v>0</v>
      </c>
    </row>
    <row r="339" customFormat="false" ht="15" hidden="false" customHeight="true" outlineLevel="0" collapsed="false">
      <c r="A339" s="25"/>
      <c r="B339" s="26"/>
      <c r="C339" s="27"/>
      <c r="D339" s="26"/>
      <c r="E339" s="26"/>
      <c r="F339" s="26"/>
      <c r="G339" s="27"/>
      <c r="H339" s="28" t="n">
        <f aca="false">IF(AND(ISNUMBER(D339),ISNUMBER(E339)),D339*E339,0)</f>
        <v>0</v>
      </c>
      <c r="I339" s="29" t="n">
        <f aca="false">IF(AND(ISNUMBER(D339),ISNUMBER(E339),E339&gt;0),ROUND(D339*(1+E339/30),1),0)</f>
        <v>0</v>
      </c>
    </row>
    <row r="340" customFormat="false" ht="15" hidden="false" customHeight="true" outlineLevel="0" collapsed="false">
      <c r="A340" s="25"/>
      <c r="B340" s="26"/>
      <c r="C340" s="27"/>
      <c r="D340" s="26"/>
      <c r="E340" s="26"/>
      <c r="F340" s="26"/>
      <c r="G340" s="27"/>
      <c r="H340" s="28" t="n">
        <f aca="false">IF(AND(ISNUMBER(D340),ISNUMBER(E340)),D340*E340,0)</f>
        <v>0</v>
      </c>
      <c r="I340" s="29" t="n">
        <f aca="false">IF(AND(ISNUMBER(D340),ISNUMBER(E340),E340&gt;0),ROUND(D340*(1+E340/30),1),0)</f>
        <v>0</v>
      </c>
    </row>
    <row r="341" customFormat="false" ht="15" hidden="false" customHeight="true" outlineLevel="0" collapsed="false">
      <c r="A341" s="25"/>
      <c r="B341" s="26"/>
      <c r="C341" s="27"/>
      <c r="D341" s="26"/>
      <c r="E341" s="26"/>
      <c r="F341" s="26"/>
      <c r="G341" s="27"/>
      <c r="H341" s="28" t="n">
        <f aca="false">IF(AND(ISNUMBER(D341),ISNUMBER(E341)),D341*E341,0)</f>
        <v>0</v>
      </c>
      <c r="I341" s="29" t="n">
        <f aca="false">IF(AND(ISNUMBER(D341),ISNUMBER(E341),E341&gt;0),ROUND(D341*(1+E341/30),1),0)</f>
        <v>0</v>
      </c>
    </row>
    <row r="342" customFormat="false" ht="15" hidden="false" customHeight="true" outlineLevel="0" collapsed="false">
      <c r="A342" s="25"/>
      <c r="B342" s="26"/>
      <c r="C342" s="27"/>
      <c r="D342" s="26"/>
      <c r="E342" s="26"/>
      <c r="F342" s="26"/>
      <c r="G342" s="27"/>
      <c r="H342" s="28" t="n">
        <f aca="false">IF(AND(ISNUMBER(D342),ISNUMBER(E342)),D342*E342,0)</f>
        <v>0</v>
      </c>
      <c r="I342" s="29" t="n">
        <f aca="false">IF(AND(ISNUMBER(D342),ISNUMBER(E342),E342&gt;0),ROUND(D342*(1+E342/30),1),0)</f>
        <v>0</v>
      </c>
    </row>
    <row r="343" customFormat="false" ht="15" hidden="false" customHeight="true" outlineLevel="0" collapsed="false">
      <c r="A343" s="25"/>
      <c r="B343" s="26"/>
      <c r="C343" s="27"/>
      <c r="D343" s="26"/>
      <c r="E343" s="26"/>
      <c r="F343" s="26"/>
      <c r="G343" s="27"/>
      <c r="H343" s="28" t="n">
        <f aca="false">IF(AND(ISNUMBER(D343),ISNUMBER(E343)),D343*E343,0)</f>
        <v>0</v>
      </c>
      <c r="I343" s="29" t="n">
        <f aca="false">IF(AND(ISNUMBER(D343),ISNUMBER(E343),E343&gt;0),ROUND(D343*(1+E343/30),1),0)</f>
        <v>0</v>
      </c>
    </row>
    <row r="344" customFormat="false" ht="15" hidden="false" customHeight="true" outlineLevel="0" collapsed="false">
      <c r="A344" s="25"/>
      <c r="B344" s="26"/>
      <c r="C344" s="27"/>
      <c r="D344" s="26"/>
      <c r="E344" s="26"/>
      <c r="F344" s="26"/>
      <c r="G344" s="27"/>
      <c r="H344" s="28" t="n">
        <f aca="false">IF(AND(ISNUMBER(D344),ISNUMBER(E344)),D344*E344,0)</f>
        <v>0</v>
      </c>
      <c r="I344" s="29" t="n">
        <f aca="false">IF(AND(ISNUMBER(D344),ISNUMBER(E344),E344&gt;0),ROUND(D344*(1+E344/30),1),0)</f>
        <v>0</v>
      </c>
    </row>
    <row r="345" customFormat="false" ht="15" hidden="false" customHeight="true" outlineLevel="0" collapsed="false">
      <c r="A345" s="25"/>
      <c r="B345" s="26"/>
      <c r="C345" s="27"/>
      <c r="D345" s="26"/>
      <c r="E345" s="26"/>
      <c r="F345" s="26"/>
      <c r="G345" s="27"/>
      <c r="H345" s="28" t="n">
        <f aca="false">IF(AND(ISNUMBER(D345),ISNUMBER(E345)),D345*E345,0)</f>
        <v>0</v>
      </c>
      <c r="I345" s="29" t="n">
        <f aca="false">IF(AND(ISNUMBER(D345),ISNUMBER(E345),E345&gt;0),ROUND(D345*(1+E345/30),1),0)</f>
        <v>0</v>
      </c>
    </row>
    <row r="346" customFormat="false" ht="15" hidden="false" customHeight="true" outlineLevel="0" collapsed="false">
      <c r="A346" s="25"/>
      <c r="B346" s="26"/>
      <c r="C346" s="27"/>
      <c r="D346" s="26"/>
      <c r="E346" s="26"/>
      <c r="F346" s="26"/>
      <c r="G346" s="27"/>
      <c r="H346" s="28" t="n">
        <f aca="false">IF(AND(ISNUMBER(D346),ISNUMBER(E346)),D346*E346,0)</f>
        <v>0</v>
      </c>
      <c r="I346" s="29" t="n">
        <f aca="false">IF(AND(ISNUMBER(D346),ISNUMBER(E346),E346&gt;0),ROUND(D346*(1+E346/30),1),0)</f>
        <v>0</v>
      </c>
    </row>
    <row r="347" customFormat="false" ht="15" hidden="false" customHeight="true" outlineLevel="0" collapsed="false">
      <c r="A347" s="25"/>
      <c r="B347" s="26"/>
      <c r="C347" s="27"/>
      <c r="D347" s="26"/>
      <c r="E347" s="26"/>
      <c r="F347" s="26"/>
      <c r="G347" s="27"/>
      <c r="H347" s="28" t="n">
        <f aca="false">IF(AND(ISNUMBER(D347),ISNUMBER(E347)),D347*E347,0)</f>
        <v>0</v>
      </c>
      <c r="I347" s="29" t="n">
        <f aca="false">IF(AND(ISNUMBER(D347),ISNUMBER(E347),E347&gt;0),ROUND(D347*(1+E347/30),1),0)</f>
        <v>0</v>
      </c>
    </row>
    <row r="348" customFormat="false" ht="15" hidden="false" customHeight="true" outlineLevel="0" collapsed="false">
      <c r="A348" s="25"/>
      <c r="B348" s="26"/>
      <c r="C348" s="27"/>
      <c r="D348" s="26"/>
      <c r="E348" s="26"/>
      <c r="F348" s="26"/>
      <c r="G348" s="27"/>
      <c r="H348" s="28" t="n">
        <f aca="false">IF(AND(ISNUMBER(D348),ISNUMBER(E348)),D348*E348,0)</f>
        <v>0</v>
      </c>
      <c r="I348" s="29" t="n">
        <f aca="false">IF(AND(ISNUMBER(D348),ISNUMBER(E348),E348&gt;0),ROUND(D348*(1+E348/30),1),0)</f>
        <v>0</v>
      </c>
    </row>
    <row r="349" customFormat="false" ht="15" hidden="false" customHeight="true" outlineLevel="0" collapsed="false">
      <c r="A349" s="25"/>
      <c r="B349" s="26"/>
      <c r="C349" s="27"/>
      <c r="D349" s="26"/>
      <c r="E349" s="26"/>
      <c r="F349" s="26"/>
      <c r="G349" s="27"/>
      <c r="H349" s="28" t="n">
        <f aca="false">IF(AND(ISNUMBER(D349),ISNUMBER(E349)),D349*E349,0)</f>
        <v>0</v>
      </c>
      <c r="I349" s="29" t="n">
        <f aca="false">IF(AND(ISNUMBER(D349),ISNUMBER(E349),E349&gt;0),ROUND(D349*(1+E349/30),1),0)</f>
        <v>0</v>
      </c>
    </row>
    <row r="350" customFormat="false" ht="15" hidden="false" customHeight="true" outlineLevel="0" collapsed="false">
      <c r="A350" s="25"/>
      <c r="B350" s="26"/>
      <c r="C350" s="27"/>
      <c r="D350" s="26"/>
      <c r="E350" s="26"/>
      <c r="F350" s="26"/>
      <c r="G350" s="27"/>
      <c r="H350" s="28" t="n">
        <f aca="false">IF(AND(ISNUMBER(D350),ISNUMBER(E350)),D350*E350,0)</f>
        <v>0</v>
      </c>
      <c r="I350" s="29" t="n">
        <f aca="false">IF(AND(ISNUMBER(D350),ISNUMBER(E350),E350&gt;0),ROUND(D350*(1+E350/30),1),0)</f>
        <v>0</v>
      </c>
    </row>
    <row r="351" customFormat="false" ht="15" hidden="false" customHeight="true" outlineLevel="0" collapsed="false">
      <c r="A351" s="25"/>
      <c r="B351" s="26"/>
      <c r="C351" s="27"/>
      <c r="D351" s="26"/>
      <c r="E351" s="26"/>
      <c r="F351" s="26"/>
      <c r="G351" s="27"/>
      <c r="H351" s="28" t="n">
        <f aca="false">IF(AND(ISNUMBER(D351),ISNUMBER(E351)),D351*E351,0)</f>
        <v>0</v>
      </c>
      <c r="I351" s="29" t="n">
        <f aca="false">IF(AND(ISNUMBER(D351),ISNUMBER(E351),E351&gt;0),ROUND(D351*(1+E351/30),1),0)</f>
        <v>0</v>
      </c>
    </row>
    <row r="352" customFormat="false" ht="15" hidden="false" customHeight="true" outlineLevel="0" collapsed="false">
      <c r="A352" s="25"/>
      <c r="B352" s="26"/>
      <c r="C352" s="27"/>
      <c r="D352" s="26"/>
      <c r="E352" s="26"/>
      <c r="F352" s="26"/>
      <c r="G352" s="27"/>
      <c r="H352" s="28" t="n">
        <f aca="false">IF(AND(ISNUMBER(D352),ISNUMBER(E352)),D352*E352,0)</f>
        <v>0</v>
      </c>
      <c r="I352" s="29" t="n">
        <f aca="false">IF(AND(ISNUMBER(D352),ISNUMBER(E352),E352&gt;0),ROUND(D352*(1+E352/30),1),0)</f>
        <v>0</v>
      </c>
    </row>
    <row r="353" customFormat="false" ht="15" hidden="false" customHeight="true" outlineLevel="0" collapsed="false">
      <c r="A353" s="25"/>
      <c r="B353" s="26"/>
      <c r="C353" s="27"/>
      <c r="D353" s="26"/>
      <c r="E353" s="26"/>
      <c r="F353" s="26"/>
      <c r="G353" s="27"/>
      <c r="H353" s="28" t="n">
        <f aca="false">IF(AND(ISNUMBER(D353),ISNUMBER(E353)),D353*E353,0)</f>
        <v>0</v>
      </c>
      <c r="I353" s="29" t="n">
        <f aca="false">IF(AND(ISNUMBER(D353),ISNUMBER(E353),E353&gt;0),ROUND(D353*(1+E353/30),1),0)</f>
        <v>0</v>
      </c>
    </row>
    <row r="354" customFormat="false" ht="15" hidden="false" customHeight="true" outlineLevel="0" collapsed="false">
      <c r="A354" s="25"/>
      <c r="B354" s="26"/>
      <c r="C354" s="27"/>
      <c r="D354" s="26"/>
      <c r="E354" s="26"/>
      <c r="F354" s="26"/>
      <c r="G354" s="27"/>
      <c r="H354" s="28" t="n">
        <f aca="false">IF(AND(ISNUMBER(D354),ISNUMBER(E354)),D354*E354,0)</f>
        <v>0</v>
      </c>
      <c r="I354" s="29" t="n">
        <f aca="false">IF(AND(ISNUMBER(D354),ISNUMBER(E354),E354&gt;0),ROUND(D354*(1+E354/30),1),0)</f>
        <v>0</v>
      </c>
    </row>
    <row r="355" customFormat="false" ht="15" hidden="false" customHeight="true" outlineLevel="0" collapsed="false">
      <c r="A355" s="25"/>
      <c r="B355" s="26"/>
      <c r="C355" s="27"/>
      <c r="D355" s="26"/>
      <c r="E355" s="26"/>
      <c r="F355" s="26"/>
      <c r="G355" s="27"/>
      <c r="H355" s="28" t="n">
        <f aca="false">IF(AND(ISNUMBER(D355),ISNUMBER(E355)),D355*E355,0)</f>
        <v>0</v>
      </c>
      <c r="I355" s="29" t="n">
        <f aca="false">IF(AND(ISNUMBER(D355),ISNUMBER(E355),E355&gt;0),ROUND(D355*(1+E355/30),1),0)</f>
        <v>0</v>
      </c>
    </row>
    <row r="356" customFormat="false" ht="15" hidden="false" customHeight="true" outlineLevel="0" collapsed="false">
      <c r="A356" s="25"/>
      <c r="B356" s="26"/>
      <c r="C356" s="27"/>
      <c r="D356" s="26"/>
      <c r="E356" s="26"/>
      <c r="F356" s="26"/>
      <c r="G356" s="27"/>
      <c r="H356" s="28" t="n">
        <f aca="false">IF(AND(ISNUMBER(D356),ISNUMBER(E356)),D356*E356,0)</f>
        <v>0</v>
      </c>
      <c r="I356" s="29" t="n">
        <f aca="false">IF(AND(ISNUMBER(D356),ISNUMBER(E356),E356&gt;0),ROUND(D356*(1+E356/30),1),0)</f>
        <v>0</v>
      </c>
    </row>
    <row r="357" customFormat="false" ht="15" hidden="false" customHeight="true" outlineLevel="0" collapsed="false">
      <c r="A357" s="25"/>
      <c r="B357" s="26"/>
      <c r="C357" s="27"/>
      <c r="D357" s="26"/>
      <c r="E357" s="26"/>
      <c r="F357" s="26"/>
      <c r="G357" s="27"/>
      <c r="H357" s="28" t="n">
        <f aca="false">IF(AND(ISNUMBER(D357),ISNUMBER(E357)),D357*E357,0)</f>
        <v>0</v>
      </c>
      <c r="I357" s="29" t="n">
        <f aca="false">IF(AND(ISNUMBER(D357),ISNUMBER(E357),E357&gt;0),ROUND(D357*(1+E357/30),1),0)</f>
        <v>0</v>
      </c>
    </row>
    <row r="358" customFormat="false" ht="15" hidden="false" customHeight="true" outlineLevel="0" collapsed="false">
      <c r="A358" s="25"/>
      <c r="B358" s="26"/>
      <c r="C358" s="27"/>
      <c r="D358" s="26"/>
      <c r="E358" s="26"/>
      <c r="F358" s="26"/>
      <c r="G358" s="27"/>
      <c r="H358" s="28" t="n">
        <f aca="false">IF(AND(ISNUMBER(D358),ISNUMBER(E358)),D358*E358,0)</f>
        <v>0</v>
      </c>
      <c r="I358" s="29" t="n">
        <f aca="false">IF(AND(ISNUMBER(D358),ISNUMBER(E358),E358&gt;0),ROUND(D358*(1+E358/30),1),0)</f>
        <v>0</v>
      </c>
    </row>
    <row r="359" customFormat="false" ht="15" hidden="false" customHeight="true" outlineLevel="0" collapsed="false">
      <c r="A359" s="25"/>
      <c r="B359" s="26"/>
      <c r="C359" s="27"/>
      <c r="D359" s="26"/>
      <c r="E359" s="26"/>
      <c r="F359" s="26"/>
      <c r="G359" s="27"/>
      <c r="H359" s="28" t="n">
        <f aca="false">IF(AND(ISNUMBER(D359),ISNUMBER(E359)),D359*E359,0)</f>
        <v>0</v>
      </c>
      <c r="I359" s="29" t="n">
        <f aca="false">IF(AND(ISNUMBER(D359),ISNUMBER(E359),E359&gt;0),ROUND(D359*(1+E359/30),1),0)</f>
        <v>0</v>
      </c>
    </row>
    <row r="360" customFormat="false" ht="15" hidden="false" customHeight="true" outlineLevel="0" collapsed="false">
      <c r="A360" s="25"/>
      <c r="B360" s="26"/>
      <c r="C360" s="27"/>
      <c r="D360" s="26"/>
      <c r="E360" s="26"/>
      <c r="F360" s="26"/>
      <c r="G360" s="27"/>
      <c r="H360" s="28" t="n">
        <f aca="false">IF(AND(ISNUMBER(D360),ISNUMBER(E360)),D360*E360,0)</f>
        <v>0</v>
      </c>
      <c r="I360" s="29" t="n">
        <f aca="false">IF(AND(ISNUMBER(D360),ISNUMBER(E360),E360&gt;0),ROUND(D360*(1+E360/30),1),0)</f>
        <v>0</v>
      </c>
    </row>
    <row r="361" customFormat="false" ht="15" hidden="false" customHeight="true" outlineLevel="0" collapsed="false">
      <c r="A361" s="25"/>
      <c r="B361" s="26"/>
      <c r="C361" s="27"/>
      <c r="D361" s="26"/>
      <c r="E361" s="26"/>
      <c r="F361" s="26"/>
      <c r="G361" s="27"/>
      <c r="H361" s="28" t="n">
        <f aca="false">IF(AND(ISNUMBER(D361),ISNUMBER(E361)),D361*E361,0)</f>
        <v>0</v>
      </c>
      <c r="I361" s="29" t="n">
        <f aca="false">IF(AND(ISNUMBER(D361),ISNUMBER(E361),E361&gt;0),ROUND(D361*(1+E361/30),1),0)</f>
        <v>0</v>
      </c>
    </row>
    <row r="362" customFormat="false" ht="15" hidden="false" customHeight="true" outlineLevel="0" collapsed="false">
      <c r="A362" s="25"/>
      <c r="B362" s="26"/>
      <c r="C362" s="27"/>
      <c r="D362" s="26"/>
      <c r="E362" s="26"/>
      <c r="F362" s="26"/>
      <c r="G362" s="27"/>
      <c r="H362" s="28" t="n">
        <f aca="false">IF(AND(ISNUMBER(D362),ISNUMBER(E362)),D362*E362,0)</f>
        <v>0</v>
      </c>
      <c r="I362" s="29" t="n">
        <f aca="false">IF(AND(ISNUMBER(D362),ISNUMBER(E362),E362&gt;0),ROUND(D362*(1+E362/30),1),0)</f>
        <v>0</v>
      </c>
    </row>
    <row r="363" customFormat="false" ht="15" hidden="false" customHeight="true" outlineLevel="0" collapsed="false">
      <c r="A363" s="25"/>
      <c r="B363" s="26"/>
      <c r="C363" s="27"/>
      <c r="D363" s="26"/>
      <c r="E363" s="26"/>
      <c r="F363" s="26"/>
      <c r="G363" s="27"/>
      <c r="H363" s="28" t="n">
        <f aca="false">IF(AND(ISNUMBER(D363),ISNUMBER(E363)),D363*E363,0)</f>
        <v>0</v>
      </c>
      <c r="I363" s="29" t="n">
        <f aca="false">IF(AND(ISNUMBER(D363),ISNUMBER(E363),E363&gt;0),ROUND(D363*(1+E363/30),1),0)</f>
        <v>0</v>
      </c>
    </row>
    <row r="364" customFormat="false" ht="15" hidden="false" customHeight="true" outlineLevel="0" collapsed="false">
      <c r="A364" s="25"/>
      <c r="B364" s="26"/>
      <c r="C364" s="27"/>
      <c r="D364" s="26"/>
      <c r="E364" s="26"/>
      <c r="F364" s="26"/>
      <c r="G364" s="27"/>
      <c r="H364" s="28" t="n">
        <f aca="false">IF(AND(ISNUMBER(D364),ISNUMBER(E364)),D364*E364,0)</f>
        <v>0</v>
      </c>
      <c r="I364" s="29" t="n">
        <f aca="false">IF(AND(ISNUMBER(D364),ISNUMBER(E364),E364&gt;0),ROUND(D364*(1+E364/30),1),0)</f>
        <v>0</v>
      </c>
    </row>
    <row r="365" customFormat="false" ht="15" hidden="false" customHeight="true" outlineLevel="0" collapsed="false">
      <c r="A365" s="25"/>
      <c r="B365" s="26"/>
      <c r="C365" s="27"/>
      <c r="D365" s="26"/>
      <c r="E365" s="26"/>
      <c r="F365" s="26"/>
      <c r="G365" s="27"/>
      <c r="H365" s="28" t="n">
        <f aca="false">IF(AND(ISNUMBER(D365),ISNUMBER(E365)),D365*E365,0)</f>
        <v>0</v>
      </c>
      <c r="I365" s="29" t="n">
        <f aca="false">IF(AND(ISNUMBER(D365),ISNUMBER(E365),E365&gt;0),ROUND(D365*(1+E365/30),1),0)</f>
        <v>0</v>
      </c>
    </row>
    <row r="366" customFormat="false" ht="15" hidden="false" customHeight="true" outlineLevel="0" collapsed="false">
      <c r="A366" s="25"/>
      <c r="B366" s="26"/>
      <c r="C366" s="27"/>
      <c r="D366" s="26"/>
      <c r="E366" s="26"/>
      <c r="F366" s="26"/>
      <c r="G366" s="27"/>
      <c r="H366" s="28" t="n">
        <f aca="false">IF(AND(ISNUMBER(D366),ISNUMBER(E366)),D366*E366,0)</f>
        <v>0</v>
      </c>
      <c r="I366" s="29" t="n">
        <f aca="false">IF(AND(ISNUMBER(D366),ISNUMBER(E366),E366&gt;0),ROUND(D366*(1+E366/30),1),0)</f>
        <v>0</v>
      </c>
    </row>
    <row r="367" customFormat="false" ht="15" hidden="false" customHeight="true" outlineLevel="0" collapsed="false">
      <c r="A367" s="25"/>
      <c r="B367" s="26"/>
      <c r="C367" s="27"/>
      <c r="D367" s="26"/>
      <c r="E367" s="26"/>
      <c r="F367" s="26"/>
      <c r="G367" s="27"/>
      <c r="H367" s="28" t="n">
        <f aca="false">IF(AND(ISNUMBER(D367),ISNUMBER(E367)),D367*E367,0)</f>
        <v>0</v>
      </c>
      <c r="I367" s="29" t="n">
        <f aca="false">IF(AND(ISNUMBER(D367),ISNUMBER(E367),E367&gt;0),ROUND(D367*(1+E367/30),1),0)</f>
        <v>0</v>
      </c>
    </row>
    <row r="368" customFormat="false" ht="15" hidden="false" customHeight="true" outlineLevel="0" collapsed="false">
      <c r="A368" s="25"/>
      <c r="B368" s="26"/>
      <c r="C368" s="27"/>
      <c r="D368" s="26"/>
      <c r="E368" s="26"/>
      <c r="F368" s="26"/>
      <c r="G368" s="27"/>
      <c r="H368" s="28" t="n">
        <f aca="false">IF(AND(ISNUMBER(D368),ISNUMBER(E368)),D368*E368,0)</f>
        <v>0</v>
      </c>
      <c r="I368" s="29" t="n">
        <f aca="false">IF(AND(ISNUMBER(D368),ISNUMBER(E368),E368&gt;0),ROUND(D368*(1+E368/30),1),0)</f>
        <v>0</v>
      </c>
    </row>
    <row r="369" customFormat="false" ht="15" hidden="false" customHeight="true" outlineLevel="0" collapsed="false">
      <c r="A369" s="25"/>
      <c r="B369" s="26"/>
      <c r="C369" s="27"/>
      <c r="D369" s="26"/>
      <c r="E369" s="26"/>
      <c r="F369" s="26"/>
      <c r="G369" s="27"/>
      <c r="H369" s="28" t="n">
        <f aca="false">IF(AND(ISNUMBER(D369),ISNUMBER(E369)),D369*E369,0)</f>
        <v>0</v>
      </c>
      <c r="I369" s="29" t="n">
        <f aca="false">IF(AND(ISNUMBER(D369),ISNUMBER(E369),E369&gt;0),ROUND(D369*(1+E369/30),1),0)</f>
        <v>0</v>
      </c>
    </row>
    <row r="370" customFormat="false" ht="15" hidden="false" customHeight="true" outlineLevel="0" collapsed="false">
      <c r="A370" s="25"/>
      <c r="B370" s="26"/>
      <c r="C370" s="27"/>
      <c r="D370" s="26"/>
      <c r="E370" s="26"/>
      <c r="F370" s="26"/>
      <c r="G370" s="27"/>
      <c r="H370" s="28" t="n">
        <f aca="false">IF(AND(ISNUMBER(D370),ISNUMBER(E370)),D370*E370,0)</f>
        <v>0</v>
      </c>
      <c r="I370" s="29" t="n">
        <f aca="false">IF(AND(ISNUMBER(D370),ISNUMBER(E370),E370&gt;0),ROUND(D370*(1+E370/30),1),0)</f>
        <v>0</v>
      </c>
    </row>
    <row r="371" customFormat="false" ht="15" hidden="false" customHeight="true" outlineLevel="0" collapsed="false">
      <c r="A371" s="25"/>
      <c r="B371" s="26"/>
      <c r="C371" s="27"/>
      <c r="D371" s="26"/>
      <c r="E371" s="26"/>
      <c r="F371" s="26"/>
      <c r="G371" s="27"/>
      <c r="H371" s="28" t="n">
        <f aca="false">IF(AND(ISNUMBER(D371),ISNUMBER(E371)),D371*E371,0)</f>
        <v>0</v>
      </c>
      <c r="I371" s="29" t="n">
        <f aca="false">IF(AND(ISNUMBER(D371),ISNUMBER(E371),E371&gt;0),ROUND(D371*(1+E371/30),1),0)</f>
        <v>0</v>
      </c>
    </row>
    <row r="372" customFormat="false" ht="15" hidden="false" customHeight="true" outlineLevel="0" collapsed="false">
      <c r="A372" s="25"/>
      <c r="B372" s="26"/>
      <c r="C372" s="27"/>
      <c r="D372" s="26"/>
      <c r="E372" s="26"/>
      <c r="F372" s="26"/>
      <c r="G372" s="27"/>
      <c r="H372" s="28" t="n">
        <f aca="false">IF(AND(ISNUMBER(D372),ISNUMBER(E372)),D372*E372,0)</f>
        <v>0</v>
      </c>
      <c r="I372" s="29" t="n">
        <f aca="false">IF(AND(ISNUMBER(D372),ISNUMBER(E372),E372&gt;0),ROUND(D372*(1+E372/30),1),0)</f>
        <v>0</v>
      </c>
    </row>
    <row r="373" customFormat="false" ht="15" hidden="false" customHeight="true" outlineLevel="0" collapsed="false">
      <c r="A373" s="25"/>
      <c r="B373" s="26"/>
      <c r="C373" s="27"/>
      <c r="D373" s="26"/>
      <c r="E373" s="26"/>
      <c r="F373" s="26"/>
      <c r="G373" s="27"/>
      <c r="H373" s="28" t="n">
        <f aca="false">IF(AND(ISNUMBER(D373),ISNUMBER(E373)),D373*E373,0)</f>
        <v>0</v>
      </c>
      <c r="I373" s="29" t="n">
        <f aca="false">IF(AND(ISNUMBER(D373),ISNUMBER(E373),E373&gt;0),ROUND(D373*(1+E373/30),1),0)</f>
        <v>0</v>
      </c>
    </row>
    <row r="374" customFormat="false" ht="15" hidden="false" customHeight="true" outlineLevel="0" collapsed="false">
      <c r="A374" s="25"/>
      <c r="B374" s="26"/>
      <c r="C374" s="27"/>
      <c r="D374" s="26"/>
      <c r="E374" s="26"/>
      <c r="F374" s="26"/>
      <c r="G374" s="27"/>
      <c r="H374" s="28" t="n">
        <f aca="false">IF(AND(ISNUMBER(D374),ISNUMBER(E374)),D374*E374,0)</f>
        <v>0</v>
      </c>
      <c r="I374" s="29" t="n">
        <f aca="false">IF(AND(ISNUMBER(D374),ISNUMBER(E374),E374&gt;0),ROUND(D374*(1+E374/30),1),0)</f>
        <v>0</v>
      </c>
    </row>
    <row r="375" customFormat="false" ht="15" hidden="false" customHeight="true" outlineLevel="0" collapsed="false">
      <c r="A375" s="25"/>
      <c r="B375" s="26"/>
      <c r="C375" s="27"/>
      <c r="D375" s="26"/>
      <c r="E375" s="26"/>
      <c r="F375" s="26"/>
      <c r="G375" s="27"/>
      <c r="H375" s="28" t="n">
        <f aca="false">IF(AND(ISNUMBER(D375),ISNUMBER(E375)),D375*E375,0)</f>
        <v>0</v>
      </c>
      <c r="I375" s="29" t="n">
        <f aca="false">IF(AND(ISNUMBER(D375),ISNUMBER(E375),E375&gt;0),ROUND(D375*(1+E375/30),1),0)</f>
        <v>0</v>
      </c>
    </row>
    <row r="376" customFormat="false" ht="15" hidden="false" customHeight="true" outlineLevel="0" collapsed="false">
      <c r="A376" s="25"/>
      <c r="B376" s="26"/>
      <c r="C376" s="27"/>
      <c r="D376" s="26"/>
      <c r="E376" s="26"/>
      <c r="F376" s="26"/>
      <c r="G376" s="27"/>
      <c r="H376" s="28" t="n">
        <f aca="false">IF(AND(ISNUMBER(D376),ISNUMBER(E376)),D376*E376,0)</f>
        <v>0</v>
      </c>
      <c r="I376" s="29" t="n">
        <f aca="false">IF(AND(ISNUMBER(D376),ISNUMBER(E376),E376&gt;0),ROUND(D376*(1+E376/30),1),0)</f>
        <v>0</v>
      </c>
    </row>
    <row r="377" customFormat="false" ht="15" hidden="false" customHeight="true" outlineLevel="0" collapsed="false">
      <c r="A377" s="25"/>
      <c r="B377" s="26"/>
      <c r="C377" s="27"/>
      <c r="D377" s="26"/>
      <c r="E377" s="26"/>
      <c r="F377" s="26"/>
      <c r="G377" s="27"/>
      <c r="H377" s="28" t="n">
        <f aca="false">IF(AND(ISNUMBER(D377),ISNUMBER(E377)),D377*E377,0)</f>
        <v>0</v>
      </c>
      <c r="I377" s="29" t="n">
        <f aca="false">IF(AND(ISNUMBER(D377),ISNUMBER(E377),E377&gt;0),ROUND(D377*(1+E377/30),1),0)</f>
        <v>0</v>
      </c>
    </row>
    <row r="378" customFormat="false" ht="15" hidden="false" customHeight="true" outlineLevel="0" collapsed="false">
      <c r="A378" s="25"/>
      <c r="B378" s="26"/>
      <c r="C378" s="27"/>
      <c r="D378" s="26"/>
      <c r="E378" s="26"/>
      <c r="F378" s="26"/>
      <c r="G378" s="27"/>
      <c r="H378" s="28" t="n">
        <f aca="false">IF(AND(ISNUMBER(D378),ISNUMBER(E378)),D378*E378,0)</f>
        <v>0</v>
      </c>
      <c r="I378" s="29" t="n">
        <f aca="false">IF(AND(ISNUMBER(D378),ISNUMBER(E378),E378&gt;0),ROUND(D378*(1+E378/30),1),0)</f>
        <v>0</v>
      </c>
    </row>
    <row r="379" customFormat="false" ht="15" hidden="false" customHeight="true" outlineLevel="0" collapsed="false">
      <c r="A379" s="25"/>
      <c r="B379" s="26"/>
      <c r="C379" s="27"/>
      <c r="D379" s="26"/>
      <c r="E379" s="26"/>
      <c r="F379" s="26"/>
      <c r="G379" s="27"/>
      <c r="H379" s="28" t="n">
        <f aca="false">IF(AND(ISNUMBER(D379),ISNUMBER(E379)),D379*E379,0)</f>
        <v>0</v>
      </c>
      <c r="I379" s="29" t="n">
        <f aca="false">IF(AND(ISNUMBER(D379),ISNUMBER(E379),E379&gt;0),ROUND(D379*(1+E379/30),1),0)</f>
        <v>0</v>
      </c>
    </row>
    <row r="380" customFormat="false" ht="15" hidden="false" customHeight="true" outlineLevel="0" collapsed="false">
      <c r="A380" s="25"/>
      <c r="B380" s="26"/>
      <c r="C380" s="27"/>
      <c r="D380" s="26"/>
      <c r="E380" s="26"/>
      <c r="F380" s="26"/>
      <c r="G380" s="27"/>
      <c r="H380" s="28" t="n">
        <f aca="false">IF(AND(ISNUMBER(D380),ISNUMBER(E380)),D380*E380,0)</f>
        <v>0</v>
      </c>
      <c r="I380" s="29" t="n">
        <f aca="false">IF(AND(ISNUMBER(D380),ISNUMBER(E380),E380&gt;0),ROUND(D380*(1+E380/30),1),0)</f>
        <v>0</v>
      </c>
    </row>
    <row r="381" customFormat="false" ht="15" hidden="false" customHeight="true" outlineLevel="0" collapsed="false">
      <c r="A381" s="25"/>
      <c r="B381" s="26"/>
      <c r="C381" s="27"/>
      <c r="D381" s="26"/>
      <c r="E381" s="26"/>
      <c r="F381" s="26"/>
      <c r="G381" s="27"/>
      <c r="H381" s="28" t="n">
        <f aca="false">IF(AND(ISNUMBER(D381),ISNUMBER(E381)),D381*E381,0)</f>
        <v>0</v>
      </c>
      <c r="I381" s="29" t="n">
        <f aca="false">IF(AND(ISNUMBER(D381),ISNUMBER(E381),E381&gt;0),ROUND(D381*(1+E381/30),1),0)</f>
        <v>0</v>
      </c>
    </row>
    <row r="382" customFormat="false" ht="15" hidden="false" customHeight="true" outlineLevel="0" collapsed="false">
      <c r="A382" s="25"/>
      <c r="B382" s="26"/>
      <c r="C382" s="27"/>
      <c r="D382" s="26"/>
      <c r="E382" s="26"/>
      <c r="F382" s="26"/>
      <c r="G382" s="27"/>
      <c r="H382" s="28" t="n">
        <f aca="false">IF(AND(ISNUMBER(D382),ISNUMBER(E382)),D382*E382,0)</f>
        <v>0</v>
      </c>
      <c r="I382" s="29" t="n">
        <f aca="false">IF(AND(ISNUMBER(D382),ISNUMBER(E382),E382&gt;0),ROUND(D382*(1+E382/30),1),0)</f>
        <v>0</v>
      </c>
    </row>
    <row r="383" customFormat="false" ht="15" hidden="false" customHeight="true" outlineLevel="0" collapsed="false">
      <c r="A383" s="25"/>
      <c r="B383" s="26"/>
      <c r="C383" s="27"/>
      <c r="D383" s="26"/>
      <c r="E383" s="26"/>
      <c r="F383" s="26"/>
      <c r="G383" s="27"/>
      <c r="H383" s="28" t="n">
        <f aca="false">IF(AND(ISNUMBER(D383),ISNUMBER(E383)),D383*E383,0)</f>
        <v>0</v>
      </c>
      <c r="I383" s="29" t="n">
        <f aca="false">IF(AND(ISNUMBER(D383),ISNUMBER(E383),E383&gt;0),ROUND(D383*(1+E383/30),1),0)</f>
        <v>0</v>
      </c>
    </row>
    <row r="384" customFormat="false" ht="15" hidden="false" customHeight="true" outlineLevel="0" collapsed="false">
      <c r="A384" s="25"/>
      <c r="B384" s="26"/>
      <c r="C384" s="27"/>
      <c r="D384" s="26"/>
      <c r="E384" s="26"/>
      <c r="F384" s="26"/>
      <c r="G384" s="27"/>
      <c r="H384" s="28" t="n">
        <f aca="false">IF(AND(ISNUMBER(D384),ISNUMBER(E384)),D384*E384,0)</f>
        <v>0</v>
      </c>
      <c r="I384" s="29" t="n">
        <f aca="false">IF(AND(ISNUMBER(D384),ISNUMBER(E384),E384&gt;0),ROUND(D384*(1+E384/30),1),0)</f>
        <v>0</v>
      </c>
    </row>
    <row r="385" customFormat="false" ht="15" hidden="false" customHeight="true" outlineLevel="0" collapsed="false">
      <c r="A385" s="25"/>
      <c r="B385" s="26"/>
      <c r="C385" s="27"/>
      <c r="D385" s="26"/>
      <c r="E385" s="26"/>
      <c r="F385" s="26"/>
      <c r="G385" s="27"/>
      <c r="H385" s="28" t="n">
        <f aca="false">IF(AND(ISNUMBER(D385),ISNUMBER(E385)),D385*E385,0)</f>
        <v>0</v>
      </c>
      <c r="I385" s="29" t="n">
        <f aca="false">IF(AND(ISNUMBER(D385),ISNUMBER(E385),E385&gt;0),ROUND(D385*(1+E385/30),1),0)</f>
        <v>0</v>
      </c>
    </row>
    <row r="386" customFormat="false" ht="15" hidden="false" customHeight="true" outlineLevel="0" collapsed="false">
      <c r="A386" s="25"/>
      <c r="B386" s="26"/>
      <c r="C386" s="27"/>
      <c r="D386" s="26"/>
      <c r="E386" s="26"/>
      <c r="F386" s="26"/>
      <c r="G386" s="27"/>
      <c r="H386" s="28" t="n">
        <f aca="false">IF(AND(ISNUMBER(D386),ISNUMBER(E386)),D386*E386,0)</f>
        <v>0</v>
      </c>
      <c r="I386" s="29" t="n">
        <f aca="false">IF(AND(ISNUMBER(D386),ISNUMBER(E386),E386&gt;0),ROUND(D386*(1+E386/30),1),0)</f>
        <v>0</v>
      </c>
    </row>
    <row r="387" customFormat="false" ht="15" hidden="false" customHeight="true" outlineLevel="0" collapsed="false">
      <c r="A387" s="25"/>
      <c r="B387" s="26"/>
      <c r="C387" s="27"/>
      <c r="D387" s="26"/>
      <c r="E387" s="26"/>
      <c r="F387" s="26"/>
      <c r="G387" s="27"/>
      <c r="H387" s="28" t="n">
        <f aca="false">IF(AND(ISNUMBER(D387),ISNUMBER(E387)),D387*E387,0)</f>
        <v>0</v>
      </c>
      <c r="I387" s="29" t="n">
        <f aca="false">IF(AND(ISNUMBER(D387),ISNUMBER(E387),E387&gt;0),ROUND(D387*(1+E387/30),1),0)</f>
        <v>0</v>
      </c>
    </row>
    <row r="388" customFormat="false" ht="15" hidden="false" customHeight="true" outlineLevel="0" collapsed="false">
      <c r="A388" s="25"/>
      <c r="B388" s="26"/>
      <c r="C388" s="27"/>
      <c r="D388" s="26"/>
      <c r="E388" s="26"/>
      <c r="F388" s="26"/>
      <c r="G388" s="27"/>
      <c r="H388" s="28" t="n">
        <f aca="false">IF(AND(ISNUMBER(D388),ISNUMBER(E388)),D388*E388,0)</f>
        <v>0</v>
      </c>
      <c r="I388" s="29" t="n">
        <f aca="false">IF(AND(ISNUMBER(D388),ISNUMBER(E388),E388&gt;0),ROUND(D388*(1+E388/30),1),0)</f>
        <v>0</v>
      </c>
    </row>
    <row r="389" customFormat="false" ht="15" hidden="false" customHeight="true" outlineLevel="0" collapsed="false">
      <c r="A389" s="25"/>
      <c r="B389" s="26"/>
      <c r="C389" s="27"/>
      <c r="D389" s="26"/>
      <c r="E389" s="26"/>
      <c r="F389" s="26"/>
      <c r="G389" s="27"/>
      <c r="H389" s="28" t="n">
        <f aca="false">IF(AND(ISNUMBER(D389),ISNUMBER(E389)),D389*E389,0)</f>
        <v>0</v>
      </c>
      <c r="I389" s="29" t="n">
        <f aca="false">IF(AND(ISNUMBER(D389),ISNUMBER(E389),E389&gt;0),ROUND(D389*(1+E389/30),1),0)</f>
        <v>0</v>
      </c>
    </row>
    <row r="390" customFormat="false" ht="15" hidden="false" customHeight="true" outlineLevel="0" collapsed="false">
      <c r="A390" s="25"/>
      <c r="B390" s="26"/>
      <c r="C390" s="27"/>
      <c r="D390" s="26"/>
      <c r="E390" s="26"/>
      <c r="F390" s="26"/>
      <c r="G390" s="27"/>
      <c r="H390" s="28" t="n">
        <f aca="false">IF(AND(ISNUMBER(D390),ISNUMBER(E390)),D390*E390,0)</f>
        <v>0</v>
      </c>
      <c r="I390" s="29" t="n">
        <f aca="false">IF(AND(ISNUMBER(D390),ISNUMBER(E390),E390&gt;0),ROUND(D390*(1+E390/30),1),0)</f>
        <v>0</v>
      </c>
    </row>
    <row r="391" customFormat="false" ht="15" hidden="false" customHeight="true" outlineLevel="0" collapsed="false">
      <c r="A391" s="25"/>
      <c r="B391" s="26"/>
      <c r="C391" s="27"/>
      <c r="D391" s="26"/>
      <c r="E391" s="26"/>
      <c r="F391" s="26"/>
      <c r="G391" s="27"/>
      <c r="H391" s="28" t="n">
        <f aca="false">IF(AND(ISNUMBER(D391),ISNUMBER(E391)),D391*E391,0)</f>
        <v>0</v>
      </c>
      <c r="I391" s="29" t="n">
        <f aca="false">IF(AND(ISNUMBER(D391),ISNUMBER(E391),E391&gt;0),ROUND(D391*(1+E391/30),1),0)</f>
        <v>0</v>
      </c>
    </row>
    <row r="392" customFormat="false" ht="15" hidden="false" customHeight="true" outlineLevel="0" collapsed="false">
      <c r="A392" s="25"/>
      <c r="B392" s="26"/>
      <c r="C392" s="27"/>
      <c r="D392" s="26"/>
      <c r="E392" s="26"/>
      <c r="F392" s="26"/>
      <c r="G392" s="27"/>
      <c r="H392" s="28" t="n">
        <f aca="false">IF(AND(ISNUMBER(D392),ISNUMBER(E392)),D392*E392,0)</f>
        <v>0</v>
      </c>
      <c r="I392" s="29" t="n">
        <f aca="false">IF(AND(ISNUMBER(D392),ISNUMBER(E392),E392&gt;0),ROUND(D392*(1+E392/30),1),0)</f>
        <v>0</v>
      </c>
    </row>
    <row r="393" customFormat="false" ht="15" hidden="false" customHeight="true" outlineLevel="0" collapsed="false">
      <c r="A393" s="25"/>
      <c r="B393" s="26"/>
      <c r="C393" s="27"/>
      <c r="D393" s="26"/>
      <c r="E393" s="26"/>
      <c r="F393" s="26"/>
      <c r="G393" s="27"/>
      <c r="H393" s="28" t="n">
        <f aca="false">IF(AND(ISNUMBER(D393),ISNUMBER(E393)),D393*E393,0)</f>
        <v>0</v>
      </c>
      <c r="I393" s="29" t="n">
        <f aca="false">IF(AND(ISNUMBER(D393),ISNUMBER(E393),E393&gt;0),ROUND(D393*(1+E393/30),1),0)</f>
        <v>0</v>
      </c>
    </row>
    <row r="394" customFormat="false" ht="15" hidden="false" customHeight="true" outlineLevel="0" collapsed="false">
      <c r="A394" s="25"/>
      <c r="B394" s="26"/>
      <c r="C394" s="27"/>
      <c r="D394" s="26"/>
      <c r="E394" s="26"/>
      <c r="F394" s="26"/>
      <c r="G394" s="27"/>
      <c r="H394" s="28" t="n">
        <f aca="false">IF(AND(ISNUMBER(D394),ISNUMBER(E394)),D394*E394,0)</f>
        <v>0</v>
      </c>
      <c r="I394" s="29" t="n">
        <f aca="false">IF(AND(ISNUMBER(D394),ISNUMBER(E394),E394&gt;0),ROUND(D394*(1+E394/30),1),0)</f>
        <v>0</v>
      </c>
    </row>
    <row r="395" customFormat="false" ht="15" hidden="false" customHeight="true" outlineLevel="0" collapsed="false">
      <c r="A395" s="25"/>
      <c r="B395" s="26"/>
      <c r="C395" s="27"/>
      <c r="D395" s="26"/>
      <c r="E395" s="26"/>
      <c r="F395" s="26"/>
      <c r="G395" s="27"/>
      <c r="H395" s="28" t="n">
        <f aca="false">IF(AND(ISNUMBER(D395),ISNUMBER(E395)),D395*E395,0)</f>
        <v>0</v>
      </c>
      <c r="I395" s="29" t="n">
        <f aca="false">IF(AND(ISNUMBER(D395),ISNUMBER(E395),E395&gt;0),ROUND(D395*(1+E395/30),1),0)</f>
        <v>0</v>
      </c>
    </row>
    <row r="396" customFormat="false" ht="15" hidden="false" customHeight="true" outlineLevel="0" collapsed="false">
      <c r="A396" s="25"/>
      <c r="B396" s="26"/>
      <c r="C396" s="27"/>
      <c r="D396" s="26"/>
      <c r="E396" s="26"/>
      <c r="F396" s="26"/>
      <c r="G396" s="27"/>
      <c r="H396" s="28" t="n">
        <f aca="false">IF(AND(ISNUMBER(D396),ISNUMBER(E396)),D396*E396,0)</f>
        <v>0</v>
      </c>
      <c r="I396" s="29" t="n">
        <f aca="false">IF(AND(ISNUMBER(D396),ISNUMBER(E396),E396&gt;0),ROUND(D396*(1+E396/30),1),0)</f>
        <v>0</v>
      </c>
    </row>
    <row r="397" customFormat="false" ht="15" hidden="false" customHeight="true" outlineLevel="0" collapsed="false">
      <c r="A397" s="25"/>
      <c r="B397" s="26"/>
      <c r="C397" s="27"/>
      <c r="D397" s="26"/>
      <c r="E397" s="26"/>
      <c r="F397" s="26"/>
      <c r="G397" s="27"/>
      <c r="H397" s="28" t="n">
        <f aca="false">IF(AND(ISNUMBER(D397),ISNUMBER(E397)),D397*E397,0)</f>
        <v>0</v>
      </c>
      <c r="I397" s="29" t="n">
        <f aca="false">IF(AND(ISNUMBER(D397),ISNUMBER(E397),E397&gt;0),ROUND(D397*(1+E397/30),1),0)</f>
        <v>0</v>
      </c>
    </row>
    <row r="398" customFormat="false" ht="15" hidden="false" customHeight="true" outlineLevel="0" collapsed="false">
      <c r="A398" s="25"/>
      <c r="B398" s="26"/>
      <c r="C398" s="27"/>
      <c r="D398" s="26"/>
      <c r="E398" s="26"/>
      <c r="F398" s="26"/>
      <c r="G398" s="27"/>
      <c r="H398" s="28" t="n">
        <f aca="false">IF(AND(ISNUMBER(D398),ISNUMBER(E398)),D398*E398,0)</f>
        <v>0</v>
      </c>
      <c r="I398" s="29" t="n">
        <f aca="false">IF(AND(ISNUMBER(D398),ISNUMBER(E398),E398&gt;0),ROUND(D398*(1+E398/30),1),0)</f>
        <v>0</v>
      </c>
    </row>
    <row r="399" customFormat="false" ht="15" hidden="false" customHeight="true" outlineLevel="0" collapsed="false">
      <c r="A399" s="25"/>
      <c r="B399" s="26"/>
      <c r="C399" s="27"/>
      <c r="D399" s="26"/>
      <c r="E399" s="26"/>
      <c r="F399" s="26"/>
      <c r="G399" s="27"/>
      <c r="H399" s="28" t="n">
        <f aca="false">IF(AND(ISNUMBER(D399),ISNUMBER(E399)),D399*E399,0)</f>
        <v>0</v>
      </c>
      <c r="I399" s="29" t="n">
        <f aca="false">IF(AND(ISNUMBER(D399),ISNUMBER(E399),E399&gt;0),ROUND(D399*(1+E399/30),1),0)</f>
        <v>0</v>
      </c>
    </row>
    <row r="400" customFormat="false" ht="15" hidden="false" customHeight="true" outlineLevel="0" collapsed="false">
      <c r="A400" s="25"/>
      <c r="B400" s="26"/>
      <c r="C400" s="27"/>
      <c r="D400" s="26"/>
      <c r="E400" s="26"/>
      <c r="F400" s="26"/>
      <c r="G400" s="27"/>
      <c r="H400" s="28" t="n">
        <f aca="false">IF(AND(ISNUMBER(D400),ISNUMBER(E400)),D400*E400,0)</f>
        <v>0</v>
      </c>
      <c r="I400" s="29" t="n">
        <f aca="false">IF(AND(ISNUMBER(D400),ISNUMBER(E400),E400&gt;0),ROUND(D400*(1+E400/30),1),0)</f>
        <v>0</v>
      </c>
    </row>
    <row r="401" customFormat="false" ht="15" hidden="false" customHeight="true" outlineLevel="0" collapsed="false">
      <c r="A401" s="25"/>
      <c r="B401" s="26"/>
      <c r="C401" s="27"/>
      <c r="D401" s="26"/>
      <c r="E401" s="26"/>
      <c r="F401" s="26"/>
      <c r="G401" s="27"/>
      <c r="H401" s="28" t="n">
        <f aca="false">IF(AND(ISNUMBER(D401),ISNUMBER(E401)),D401*E401,0)</f>
        <v>0</v>
      </c>
      <c r="I401" s="29" t="n">
        <f aca="false">IF(AND(ISNUMBER(D401),ISNUMBER(E401),E401&gt;0),ROUND(D401*(1+E401/30),1),0)</f>
        <v>0</v>
      </c>
    </row>
    <row r="402" customFormat="false" ht="15" hidden="false" customHeight="true" outlineLevel="0" collapsed="false">
      <c r="A402" s="25"/>
      <c r="B402" s="26"/>
      <c r="C402" s="27"/>
      <c r="D402" s="26"/>
      <c r="E402" s="26"/>
      <c r="F402" s="26"/>
      <c r="G402" s="27"/>
      <c r="H402" s="28" t="n">
        <f aca="false">IF(AND(ISNUMBER(D402),ISNUMBER(E402)),D402*E402,0)</f>
        <v>0</v>
      </c>
      <c r="I402" s="29" t="n">
        <f aca="false">IF(AND(ISNUMBER(D402),ISNUMBER(E402),E402&gt;0),ROUND(D402*(1+E402/30),1),0)</f>
        <v>0</v>
      </c>
    </row>
    <row r="403" customFormat="false" ht="15" hidden="false" customHeight="true" outlineLevel="0" collapsed="false">
      <c r="A403" s="25"/>
      <c r="B403" s="26"/>
      <c r="C403" s="27"/>
      <c r="D403" s="26"/>
      <c r="E403" s="26"/>
      <c r="F403" s="26"/>
      <c r="G403" s="27"/>
      <c r="H403" s="28" t="n">
        <f aca="false">IF(AND(ISNUMBER(D403),ISNUMBER(E403)),D403*E403,0)</f>
        <v>0</v>
      </c>
      <c r="I403" s="29" t="n">
        <f aca="false">IF(AND(ISNUMBER(D403),ISNUMBER(E403),E403&gt;0),ROUND(D403*(1+E403/30),1),0)</f>
        <v>0</v>
      </c>
    </row>
    <row r="404" customFormat="false" ht="15" hidden="false" customHeight="true" outlineLevel="0" collapsed="false">
      <c r="A404" s="25"/>
      <c r="B404" s="26"/>
      <c r="C404" s="27"/>
      <c r="D404" s="26"/>
      <c r="E404" s="26"/>
      <c r="F404" s="26"/>
      <c r="G404" s="27"/>
      <c r="H404" s="28" t="n">
        <f aca="false">IF(AND(ISNUMBER(D404),ISNUMBER(E404)),D404*E404,0)</f>
        <v>0</v>
      </c>
      <c r="I404" s="29" t="n">
        <f aca="false">IF(AND(ISNUMBER(D404),ISNUMBER(E404),E404&gt;0),ROUND(D404*(1+E404/30),1),0)</f>
        <v>0</v>
      </c>
    </row>
    <row r="405" customFormat="false" ht="15" hidden="false" customHeight="true" outlineLevel="0" collapsed="false">
      <c r="A405" s="25"/>
      <c r="B405" s="26"/>
      <c r="C405" s="27"/>
      <c r="D405" s="26"/>
      <c r="E405" s="26"/>
      <c r="F405" s="26"/>
      <c r="G405" s="27"/>
      <c r="H405" s="28" t="n">
        <f aca="false">IF(AND(ISNUMBER(D405),ISNUMBER(E405)),D405*E405,0)</f>
        <v>0</v>
      </c>
      <c r="I405" s="29" t="n">
        <f aca="false">IF(AND(ISNUMBER(D405),ISNUMBER(E405),E405&gt;0),ROUND(D405*(1+E405/30),1),0)</f>
        <v>0</v>
      </c>
    </row>
    <row r="406" customFormat="false" ht="15" hidden="false" customHeight="true" outlineLevel="0" collapsed="false">
      <c r="A406" s="25"/>
      <c r="B406" s="26"/>
      <c r="C406" s="27"/>
      <c r="D406" s="26"/>
      <c r="E406" s="26"/>
      <c r="F406" s="26"/>
      <c r="G406" s="27"/>
      <c r="H406" s="28" t="n">
        <f aca="false">IF(AND(ISNUMBER(D406),ISNUMBER(E406)),D406*E406,0)</f>
        <v>0</v>
      </c>
      <c r="I406" s="29" t="n">
        <f aca="false">IF(AND(ISNUMBER(D406),ISNUMBER(E406),E406&gt;0),ROUND(D406*(1+E406/30),1),0)</f>
        <v>0</v>
      </c>
    </row>
    <row r="407" customFormat="false" ht="15" hidden="false" customHeight="true" outlineLevel="0" collapsed="false">
      <c r="A407" s="25"/>
      <c r="B407" s="26"/>
      <c r="C407" s="27"/>
      <c r="D407" s="26"/>
      <c r="E407" s="26"/>
      <c r="F407" s="26"/>
      <c r="G407" s="27"/>
      <c r="H407" s="28" t="n">
        <f aca="false">IF(AND(ISNUMBER(D407),ISNUMBER(E407)),D407*E407,0)</f>
        <v>0</v>
      </c>
      <c r="I407" s="29" t="n">
        <f aca="false">IF(AND(ISNUMBER(D407),ISNUMBER(E407),E407&gt;0),ROUND(D407*(1+E407/30),1),0)</f>
        <v>0</v>
      </c>
    </row>
    <row r="408" customFormat="false" ht="15" hidden="false" customHeight="true" outlineLevel="0" collapsed="false">
      <c r="A408" s="25"/>
      <c r="B408" s="26"/>
      <c r="C408" s="27"/>
      <c r="D408" s="26"/>
      <c r="E408" s="26"/>
      <c r="F408" s="26"/>
      <c r="G408" s="27"/>
      <c r="H408" s="28" t="n">
        <f aca="false">IF(AND(ISNUMBER(D408),ISNUMBER(E408)),D408*E408,0)</f>
        <v>0</v>
      </c>
      <c r="I408" s="29" t="n">
        <f aca="false">IF(AND(ISNUMBER(D408),ISNUMBER(E408),E408&gt;0),ROUND(D408*(1+E408/30),1),0)</f>
        <v>0</v>
      </c>
    </row>
    <row r="409" customFormat="false" ht="15" hidden="false" customHeight="true" outlineLevel="0" collapsed="false">
      <c r="A409" s="25"/>
      <c r="B409" s="26"/>
      <c r="C409" s="27"/>
      <c r="D409" s="26"/>
      <c r="E409" s="26"/>
      <c r="F409" s="26"/>
      <c r="G409" s="27"/>
      <c r="H409" s="28" t="n">
        <f aca="false">IF(AND(ISNUMBER(D409),ISNUMBER(E409)),D409*E409,0)</f>
        <v>0</v>
      </c>
      <c r="I409" s="29" t="n">
        <f aca="false">IF(AND(ISNUMBER(D409),ISNUMBER(E409),E409&gt;0),ROUND(D409*(1+E409/30),1),0)</f>
        <v>0</v>
      </c>
    </row>
    <row r="410" customFormat="false" ht="15" hidden="false" customHeight="true" outlineLevel="0" collapsed="false">
      <c r="A410" s="25"/>
      <c r="B410" s="26"/>
      <c r="C410" s="27"/>
      <c r="D410" s="26"/>
      <c r="E410" s="26"/>
      <c r="F410" s="26"/>
      <c r="G410" s="27"/>
      <c r="H410" s="28" t="n">
        <f aca="false">IF(AND(ISNUMBER(D410),ISNUMBER(E410)),D410*E410,0)</f>
        <v>0</v>
      </c>
      <c r="I410" s="29" t="n">
        <f aca="false">IF(AND(ISNUMBER(D410),ISNUMBER(E410),E410&gt;0),ROUND(D410*(1+E410/30),1),0)</f>
        <v>0</v>
      </c>
    </row>
    <row r="411" customFormat="false" ht="15" hidden="false" customHeight="true" outlineLevel="0" collapsed="false">
      <c r="A411" s="25"/>
      <c r="B411" s="26"/>
      <c r="C411" s="27"/>
      <c r="D411" s="26"/>
      <c r="E411" s="26"/>
      <c r="F411" s="26"/>
      <c r="G411" s="27"/>
      <c r="H411" s="28" t="n">
        <f aca="false">IF(AND(ISNUMBER(D411),ISNUMBER(E411)),D411*E411,0)</f>
        <v>0</v>
      </c>
      <c r="I411" s="29" t="n">
        <f aca="false">IF(AND(ISNUMBER(D411),ISNUMBER(E411),E411&gt;0),ROUND(D411*(1+E411/30),1),0)</f>
        <v>0</v>
      </c>
    </row>
    <row r="412" customFormat="false" ht="15" hidden="false" customHeight="true" outlineLevel="0" collapsed="false">
      <c r="A412" s="25"/>
      <c r="B412" s="26"/>
      <c r="C412" s="27"/>
      <c r="D412" s="26"/>
      <c r="E412" s="26"/>
      <c r="F412" s="26"/>
      <c r="G412" s="27"/>
      <c r="H412" s="28" t="n">
        <f aca="false">IF(AND(ISNUMBER(D412),ISNUMBER(E412)),D412*E412,0)</f>
        <v>0</v>
      </c>
      <c r="I412" s="29" t="n">
        <f aca="false">IF(AND(ISNUMBER(D412),ISNUMBER(E412),E412&gt;0),ROUND(D412*(1+E412/30),1),0)</f>
        <v>0</v>
      </c>
    </row>
    <row r="413" customFormat="false" ht="15" hidden="false" customHeight="true" outlineLevel="0" collapsed="false">
      <c r="A413" s="25"/>
      <c r="B413" s="26"/>
      <c r="C413" s="27"/>
      <c r="D413" s="26"/>
      <c r="E413" s="26"/>
      <c r="F413" s="26"/>
      <c r="G413" s="27"/>
      <c r="H413" s="28" t="n">
        <f aca="false">IF(AND(ISNUMBER(D413),ISNUMBER(E413)),D413*E413,0)</f>
        <v>0</v>
      </c>
      <c r="I413" s="29" t="n">
        <f aca="false">IF(AND(ISNUMBER(D413),ISNUMBER(E413),E413&gt;0),ROUND(D413*(1+E413/30),1),0)</f>
        <v>0</v>
      </c>
    </row>
    <row r="414" customFormat="false" ht="15" hidden="false" customHeight="true" outlineLevel="0" collapsed="false">
      <c r="A414" s="25"/>
      <c r="B414" s="26"/>
      <c r="C414" s="27"/>
      <c r="D414" s="26"/>
      <c r="E414" s="26"/>
      <c r="F414" s="26"/>
      <c r="G414" s="27"/>
      <c r="H414" s="28" t="n">
        <f aca="false">IF(AND(ISNUMBER(D414),ISNUMBER(E414)),D414*E414,0)</f>
        <v>0</v>
      </c>
      <c r="I414" s="29" t="n">
        <f aca="false">IF(AND(ISNUMBER(D414),ISNUMBER(E414),E414&gt;0),ROUND(D414*(1+E414/30),1),0)</f>
        <v>0</v>
      </c>
    </row>
    <row r="415" customFormat="false" ht="15" hidden="false" customHeight="true" outlineLevel="0" collapsed="false">
      <c r="A415" s="25"/>
      <c r="B415" s="26"/>
      <c r="C415" s="27"/>
      <c r="D415" s="26"/>
      <c r="E415" s="26"/>
      <c r="F415" s="26"/>
      <c r="G415" s="27"/>
      <c r="H415" s="28" t="n">
        <f aca="false">IF(AND(ISNUMBER(D415),ISNUMBER(E415)),D415*E415,0)</f>
        <v>0</v>
      </c>
      <c r="I415" s="29" t="n">
        <f aca="false">IF(AND(ISNUMBER(D415),ISNUMBER(E415),E415&gt;0),ROUND(D415*(1+E415/30),1),0)</f>
        <v>0</v>
      </c>
    </row>
    <row r="416" customFormat="false" ht="15" hidden="false" customHeight="true" outlineLevel="0" collapsed="false">
      <c r="A416" s="25"/>
      <c r="B416" s="26"/>
      <c r="C416" s="27"/>
      <c r="D416" s="26"/>
      <c r="E416" s="26"/>
      <c r="F416" s="26"/>
      <c r="G416" s="27"/>
      <c r="H416" s="28" t="n">
        <f aca="false">IF(AND(ISNUMBER(D416),ISNUMBER(E416)),D416*E416,0)</f>
        <v>0</v>
      </c>
      <c r="I416" s="29" t="n">
        <f aca="false">IF(AND(ISNUMBER(D416),ISNUMBER(E416),E416&gt;0),ROUND(D416*(1+E416/30),1),0)</f>
        <v>0</v>
      </c>
    </row>
    <row r="417" customFormat="false" ht="15" hidden="false" customHeight="true" outlineLevel="0" collapsed="false">
      <c r="A417" s="25"/>
      <c r="B417" s="26"/>
      <c r="C417" s="27"/>
      <c r="D417" s="26"/>
      <c r="E417" s="26"/>
      <c r="F417" s="26"/>
      <c r="G417" s="27"/>
      <c r="H417" s="28" t="n">
        <f aca="false">IF(AND(ISNUMBER(D417),ISNUMBER(E417)),D417*E417,0)</f>
        <v>0</v>
      </c>
      <c r="I417" s="29" t="n">
        <f aca="false">IF(AND(ISNUMBER(D417),ISNUMBER(E417),E417&gt;0),ROUND(D417*(1+E417/30),1),0)</f>
        <v>0</v>
      </c>
    </row>
    <row r="418" customFormat="false" ht="15" hidden="false" customHeight="true" outlineLevel="0" collapsed="false">
      <c r="A418" s="25"/>
      <c r="B418" s="26"/>
      <c r="C418" s="27"/>
      <c r="D418" s="26"/>
      <c r="E418" s="26"/>
      <c r="F418" s="26"/>
      <c r="G418" s="27"/>
      <c r="H418" s="28" t="n">
        <f aca="false">IF(AND(ISNUMBER(D418),ISNUMBER(E418)),D418*E418,0)</f>
        <v>0</v>
      </c>
      <c r="I418" s="29" t="n">
        <f aca="false">IF(AND(ISNUMBER(D418),ISNUMBER(E418),E418&gt;0),ROUND(D418*(1+E418/30),1),0)</f>
        <v>0</v>
      </c>
    </row>
    <row r="419" customFormat="false" ht="15" hidden="false" customHeight="true" outlineLevel="0" collapsed="false">
      <c r="A419" s="25"/>
      <c r="B419" s="26"/>
      <c r="C419" s="27"/>
      <c r="D419" s="26"/>
      <c r="E419" s="26"/>
      <c r="F419" s="26"/>
      <c r="G419" s="27"/>
      <c r="H419" s="28" t="n">
        <f aca="false">IF(AND(ISNUMBER(D419),ISNUMBER(E419)),D419*E419,0)</f>
        <v>0</v>
      </c>
      <c r="I419" s="29" t="n">
        <f aca="false">IF(AND(ISNUMBER(D419),ISNUMBER(E419),E419&gt;0),ROUND(D419*(1+E419/30),1),0)</f>
        <v>0</v>
      </c>
    </row>
    <row r="420" customFormat="false" ht="15" hidden="false" customHeight="true" outlineLevel="0" collapsed="false">
      <c r="A420" s="25"/>
      <c r="B420" s="26"/>
      <c r="C420" s="27"/>
      <c r="D420" s="26"/>
      <c r="E420" s="26"/>
      <c r="F420" s="26"/>
      <c r="G420" s="27"/>
      <c r="H420" s="28" t="n">
        <f aca="false">IF(AND(ISNUMBER(D420),ISNUMBER(E420)),D420*E420,0)</f>
        <v>0</v>
      </c>
      <c r="I420" s="29" t="n">
        <f aca="false">IF(AND(ISNUMBER(D420),ISNUMBER(E420),E420&gt;0),ROUND(D420*(1+E420/30),1),0)</f>
        <v>0</v>
      </c>
    </row>
    <row r="421" customFormat="false" ht="15" hidden="false" customHeight="true" outlineLevel="0" collapsed="false">
      <c r="A421" s="25"/>
      <c r="B421" s="26"/>
      <c r="C421" s="27"/>
      <c r="D421" s="26"/>
      <c r="E421" s="26"/>
      <c r="F421" s="26"/>
      <c r="G421" s="27"/>
      <c r="H421" s="28" t="n">
        <f aca="false">IF(AND(ISNUMBER(D421),ISNUMBER(E421)),D421*E421,0)</f>
        <v>0</v>
      </c>
      <c r="I421" s="29" t="n">
        <f aca="false">IF(AND(ISNUMBER(D421),ISNUMBER(E421),E421&gt;0),ROUND(D421*(1+E421/30),1),0)</f>
        <v>0</v>
      </c>
    </row>
    <row r="422" customFormat="false" ht="15" hidden="false" customHeight="true" outlineLevel="0" collapsed="false">
      <c r="A422" s="25"/>
      <c r="B422" s="26"/>
      <c r="C422" s="27"/>
      <c r="D422" s="26"/>
      <c r="E422" s="26"/>
      <c r="F422" s="26"/>
      <c r="G422" s="27"/>
      <c r="H422" s="28" t="n">
        <f aca="false">IF(AND(ISNUMBER(D422),ISNUMBER(E422)),D422*E422,0)</f>
        <v>0</v>
      </c>
      <c r="I422" s="29" t="n">
        <f aca="false">IF(AND(ISNUMBER(D422),ISNUMBER(E422),E422&gt;0),ROUND(D422*(1+E422/30),1),0)</f>
        <v>0</v>
      </c>
    </row>
    <row r="423" customFormat="false" ht="15" hidden="false" customHeight="true" outlineLevel="0" collapsed="false">
      <c r="A423" s="25"/>
      <c r="B423" s="26"/>
      <c r="C423" s="27"/>
      <c r="D423" s="26"/>
      <c r="E423" s="26"/>
      <c r="F423" s="26"/>
      <c r="G423" s="27"/>
      <c r="H423" s="28" t="n">
        <f aca="false">IF(AND(ISNUMBER(D423),ISNUMBER(E423)),D423*E423,0)</f>
        <v>0</v>
      </c>
      <c r="I423" s="29" t="n">
        <f aca="false">IF(AND(ISNUMBER(D423),ISNUMBER(E423),E423&gt;0),ROUND(D423*(1+E423/30),1),0)</f>
        <v>0</v>
      </c>
    </row>
    <row r="424" customFormat="false" ht="15" hidden="false" customHeight="true" outlineLevel="0" collapsed="false">
      <c r="A424" s="25"/>
      <c r="B424" s="26"/>
      <c r="C424" s="27"/>
      <c r="D424" s="26"/>
      <c r="E424" s="26"/>
      <c r="F424" s="26"/>
      <c r="G424" s="27"/>
      <c r="H424" s="28" t="n">
        <f aca="false">IF(AND(ISNUMBER(D424),ISNUMBER(E424)),D424*E424,0)</f>
        <v>0</v>
      </c>
      <c r="I424" s="29" t="n">
        <f aca="false">IF(AND(ISNUMBER(D424),ISNUMBER(E424),E424&gt;0),ROUND(D424*(1+E424/30),1),0)</f>
        <v>0</v>
      </c>
    </row>
    <row r="425" customFormat="false" ht="15" hidden="false" customHeight="true" outlineLevel="0" collapsed="false">
      <c r="A425" s="25"/>
      <c r="B425" s="26"/>
      <c r="C425" s="27"/>
      <c r="D425" s="26"/>
      <c r="E425" s="26"/>
      <c r="F425" s="26"/>
      <c r="G425" s="27"/>
      <c r="H425" s="28" t="n">
        <f aca="false">IF(AND(ISNUMBER(D425),ISNUMBER(E425)),D425*E425,0)</f>
        <v>0</v>
      </c>
      <c r="I425" s="29" t="n">
        <f aca="false">IF(AND(ISNUMBER(D425),ISNUMBER(E425),E425&gt;0),ROUND(D425*(1+E425/30),1),0)</f>
        <v>0</v>
      </c>
    </row>
    <row r="426" customFormat="false" ht="15" hidden="false" customHeight="true" outlineLevel="0" collapsed="false">
      <c r="A426" s="25"/>
      <c r="B426" s="26"/>
      <c r="C426" s="27"/>
      <c r="D426" s="26"/>
      <c r="E426" s="26"/>
      <c r="F426" s="26"/>
      <c r="G426" s="27"/>
      <c r="H426" s="28" t="n">
        <f aca="false">IF(AND(ISNUMBER(D426),ISNUMBER(E426)),D426*E426,0)</f>
        <v>0</v>
      </c>
      <c r="I426" s="29" t="n">
        <f aca="false">IF(AND(ISNUMBER(D426),ISNUMBER(E426),E426&gt;0),ROUND(D426*(1+E426/30),1),0)</f>
        <v>0</v>
      </c>
    </row>
    <row r="427" customFormat="false" ht="15" hidden="false" customHeight="true" outlineLevel="0" collapsed="false">
      <c r="A427" s="25"/>
      <c r="B427" s="26"/>
      <c r="C427" s="27"/>
      <c r="D427" s="26"/>
      <c r="E427" s="26"/>
      <c r="F427" s="26"/>
      <c r="G427" s="27"/>
      <c r="H427" s="28" t="n">
        <f aca="false">IF(AND(ISNUMBER(D427),ISNUMBER(E427)),D427*E427,0)</f>
        <v>0</v>
      </c>
      <c r="I427" s="29" t="n">
        <f aca="false">IF(AND(ISNUMBER(D427),ISNUMBER(E427),E427&gt;0),ROUND(D427*(1+E427/30),1),0)</f>
        <v>0</v>
      </c>
    </row>
    <row r="428" customFormat="false" ht="15" hidden="false" customHeight="true" outlineLevel="0" collapsed="false">
      <c r="A428" s="25"/>
      <c r="B428" s="26"/>
      <c r="C428" s="27"/>
      <c r="D428" s="26"/>
      <c r="E428" s="26"/>
      <c r="F428" s="26"/>
      <c r="G428" s="27"/>
      <c r="H428" s="28" t="n">
        <f aca="false">IF(AND(ISNUMBER(D428),ISNUMBER(E428)),D428*E428,0)</f>
        <v>0</v>
      </c>
      <c r="I428" s="29" t="n">
        <f aca="false">IF(AND(ISNUMBER(D428),ISNUMBER(E428),E428&gt;0),ROUND(D428*(1+E428/30),1),0)</f>
        <v>0</v>
      </c>
    </row>
    <row r="429" customFormat="false" ht="15" hidden="false" customHeight="true" outlineLevel="0" collapsed="false">
      <c r="A429" s="25"/>
      <c r="B429" s="26"/>
      <c r="C429" s="27"/>
      <c r="D429" s="26"/>
      <c r="E429" s="26"/>
      <c r="F429" s="26"/>
      <c r="G429" s="27"/>
      <c r="H429" s="28" t="n">
        <f aca="false">IF(AND(ISNUMBER(D429),ISNUMBER(E429)),D429*E429,0)</f>
        <v>0</v>
      </c>
      <c r="I429" s="29" t="n">
        <f aca="false">IF(AND(ISNUMBER(D429),ISNUMBER(E429),E429&gt;0),ROUND(D429*(1+E429/30),1),0)</f>
        <v>0</v>
      </c>
    </row>
    <row r="430" customFormat="false" ht="15" hidden="false" customHeight="true" outlineLevel="0" collapsed="false">
      <c r="A430" s="25"/>
      <c r="B430" s="26"/>
      <c r="C430" s="27"/>
      <c r="D430" s="26"/>
      <c r="E430" s="26"/>
      <c r="F430" s="26"/>
      <c r="G430" s="27"/>
      <c r="H430" s="28" t="n">
        <f aca="false">IF(AND(ISNUMBER(D430),ISNUMBER(E430)),D430*E430,0)</f>
        <v>0</v>
      </c>
      <c r="I430" s="29" t="n">
        <f aca="false">IF(AND(ISNUMBER(D430),ISNUMBER(E430),E430&gt;0),ROUND(D430*(1+E430/30),1),0)</f>
        <v>0</v>
      </c>
    </row>
    <row r="431" customFormat="false" ht="15" hidden="false" customHeight="true" outlineLevel="0" collapsed="false">
      <c r="A431" s="25"/>
      <c r="B431" s="26"/>
      <c r="C431" s="27"/>
      <c r="D431" s="26"/>
      <c r="E431" s="26"/>
      <c r="F431" s="26"/>
      <c r="G431" s="27"/>
      <c r="H431" s="28" t="n">
        <f aca="false">IF(AND(ISNUMBER(D431),ISNUMBER(E431)),D431*E431,0)</f>
        <v>0</v>
      </c>
      <c r="I431" s="29" t="n">
        <f aca="false">IF(AND(ISNUMBER(D431),ISNUMBER(E431),E431&gt;0),ROUND(D431*(1+E431/30),1),0)</f>
        <v>0</v>
      </c>
    </row>
    <row r="432" customFormat="false" ht="15" hidden="false" customHeight="true" outlineLevel="0" collapsed="false">
      <c r="A432" s="25"/>
      <c r="B432" s="26"/>
      <c r="C432" s="27"/>
      <c r="D432" s="26"/>
      <c r="E432" s="26"/>
      <c r="F432" s="26"/>
      <c r="G432" s="27"/>
      <c r="H432" s="28" t="n">
        <f aca="false">IF(AND(ISNUMBER(D432),ISNUMBER(E432)),D432*E432,0)</f>
        <v>0</v>
      </c>
      <c r="I432" s="29" t="n">
        <f aca="false">IF(AND(ISNUMBER(D432),ISNUMBER(E432),E432&gt;0),ROUND(D432*(1+E432/30),1),0)</f>
        <v>0</v>
      </c>
    </row>
    <row r="433" customFormat="false" ht="15" hidden="false" customHeight="true" outlineLevel="0" collapsed="false">
      <c r="A433" s="25"/>
      <c r="B433" s="26"/>
      <c r="C433" s="27"/>
      <c r="D433" s="26"/>
      <c r="E433" s="26"/>
      <c r="F433" s="26"/>
      <c r="G433" s="27"/>
      <c r="H433" s="28" t="n">
        <f aca="false">IF(AND(ISNUMBER(D433),ISNUMBER(E433)),D433*E433,0)</f>
        <v>0</v>
      </c>
      <c r="I433" s="29" t="n">
        <f aca="false">IF(AND(ISNUMBER(D433),ISNUMBER(E433),E433&gt;0),ROUND(D433*(1+E433/30),1),0)</f>
        <v>0</v>
      </c>
    </row>
    <row r="434" customFormat="false" ht="15" hidden="false" customHeight="true" outlineLevel="0" collapsed="false">
      <c r="A434" s="25"/>
      <c r="B434" s="26"/>
      <c r="C434" s="27"/>
      <c r="D434" s="26"/>
      <c r="E434" s="26"/>
      <c r="F434" s="26"/>
      <c r="G434" s="27"/>
      <c r="H434" s="28" t="n">
        <f aca="false">IF(AND(ISNUMBER(D434),ISNUMBER(E434)),D434*E434,0)</f>
        <v>0</v>
      </c>
      <c r="I434" s="29" t="n">
        <f aca="false">IF(AND(ISNUMBER(D434),ISNUMBER(E434),E434&gt;0),ROUND(D434*(1+E434/30),1),0)</f>
        <v>0</v>
      </c>
    </row>
    <row r="435" customFormat="false" ht="15" hidden="false" customHeight="true" outlineLevel="0" collapsed="false">
      <c r="A435" s="25"/>
      <c r="B435" s="26"/>
      <c r="C435" s="27"/>
      <c r="D435" s="26"/>
      <c r="E435" s="26"/>
      <c r="F435" s="26"/>
      <c r="G435" s="27"/>
      <c r="H435" s="28" t="n">
        <f aca="false">IF(AND(ISNUMBER(D435),ISNUMBER(E435)),D435*E435,0)</f>
        <v>0</v>
      </c>
      <c r="I435" s="29" t="n">
        <f aca="false">IF(AND(ISNUMBER(D435),ISNUMBER(E435),E435&gt;0),ROUND(D435*(1+E435/30),1),0)</f>
        <v>0</v>
      </c>
    </row>
    <row r="436" customFormat="false" ht="15" hidden="false" customHeight="true" outlineLevel="0" collapsed="false">
      <c r="A436" s="25"/>
      <c r="B436" s="26"/>
      <c r="C436" s="27"/>
      <c r="D436" s="26"/>
      <c r="E436" s="26"/>
      <c r="F436" s="26"/>
      <c r="G436" s="27"/>
      <c r="H436" s="28" t="n">
        <f aca="false">IF(AND(ISNUMBER(D436),ISNUMBER(E436)),D436*E436,0)</f>
        <v>0</v>
      </c>
      <c r="I436" s="29" t="n">
        <f aca="false">IF(AND(ISNUMBER(D436),ISNUMBER(E436),E436&gt;0),ROUND(D436*(1+E436/30),1),0)</f>
        <v>0</v>
      </c>
    </row>
    <row r="437" customFormat="false" ht="15" hidden="false" customHeight="true" outlineLevel="0" collapsed="false">
      <c r="A437" s="25"/>
      <c r="B437" s="26"/>
      <c r="C437" s="27"/>
      <c r="D437" s="26"/>
      <c r="E437" s="26"/>
      <c r="F437" s="26"/>
      <c r="G437" s="27"/>
      <c r="H437" s="28" t="n">
        <f aca="false">IF(AND(ISNUMBER(D437),ISNUMBER(E437)),D437*E437,0)</f>
        <v>0</v>
      </c>
      <c r="I437" s="29" t="n">
        <f aca="false">IF(AND(ISNUMBER(D437),ISNUMBER(E437),E437&gt;0),ROUND(D437*(1+E437/30),1),0)</f>
        <v>0</v>
      </c>
    </row>
    <row r="438" customFormat="false" ht="15" hidden="false" customHeight="true" outlineLevel="0" collapsed="false">
      <c r="A438" s="25"/>
      <c r="B438" s="26"/>
      <c r="C438" s="27"/>
      <c r="D438" s="26"/>
      <c r="E438" s="26"/>
      <c r="F438" s="26"/>
      <c r="G438" s="27"/>
      <c r="H438" s="28" t="n">
        <f aca="false">IF(AND(ISNUMBER(D438),ISNUMBER(E438)),D438*E438,0)</f>
        <v>0</v>
      </c>
      <c r="I438" s="29" t="n">
        <f aca="false">IF(AND(ISNUMBER(D438),ISNUMBER(E438),E438&gt;0),ROUND(D438*(1+E438/30),1),0)</f>
        <v>0</v>
      </c>
    </row>
    <row r="439" customFormat="false" ht="15" hidden="false" customHeight="true" outlineLevel="0" collapsed="false">
      <c r="A439" s="25"/>
      <c r="B439" s="26"/>
      <c r="C439" s="27"/>
      <c r="D439" s="26"/>
      <c r="E439" s="26"/>
      <c r="F439" s="26"/>
      <c r="G439" s="27"/>
      <c r="H439" s="28" t="n">
        <f aca="false">IF(AND(ISNUMBER(D439),ISNUMBER(E439)),D439*E439,0)</f>
        <v>0</v>
      </c>
      <c r="I439" s="29" t="n">
        <f aca="false">IF(AND(ISNUMBER(D439),ISNUMBER(E439),E439&gt;0),ROUND(D439*(1+E439/30),1),0)</f>
        <v>0</v>
      </c>
    </row>
    <row r="440" customFormat="false" ht="15" hidden="false" customHeight="true" outlineLevel="0" collapsed="false">
      <c r="A440" s="25"/>
      <c r="B440" s="26"/>
      <c r="C440" s="27"/>
      <c r="D440" s="26"/>
      <c r="E440" s="26"/>
      <c r="F440" s="26"/>
      <c r="G440" s="27"/>
      <c r="H440" s="28" t="n">
        <f aca="false">IF(AND(ISNUMBER(D440),ISNUMBER(E440)),D440*E440,0)</f>
        <v>0</v>
      </c>
      <c r="I440" s="29" t="n">
        <f aca="false">IF(AND(ISNUMBER(D440),ISNUMBER(E440),E440&gt;0),ROUND(D440*(1+E440/30),1),0)</f>
        <v>0</v>
      </c>
    </row>
    <row r="441" customFormat="false" ht="15" hidden="false" customHeight="true" outlineLevel="0" collapsed="false">
      <c r="A441" s="25"/>
      <c r="B441" s="26"/>
      <c r="C441" s="27"/>
      <c r="D441" s="26"/>
      <c r="E441" s="26"/>
      <c r="F441" s="26"/>
      <c r="G441" s="27"/>
      <c r="H441" s="28" t="n">
        <f aca="false">IF(AND(ISNUMBER(D441),ISNUMBER(E441)),D441*E441,0)</f>
        <v>0</v>
      </c>
      <c r="I441" s="29" t="n">
        <f aca="false">IF(AND(ISNUMBER(D441),ISNUMBER(E441),E441&gt;0),ROUND(D441*(1+E441/30),1),0)</f>
        <v>0</v>
      </c>
    </row>
    <row r="442" customFormat="false" ht="15" hidden="false" customHeight="true" outlineLevel="0" collapsed="false">
      <c r="A442" s="25"/>
      <c r="B442" s="26"/>
      <c r="C442" s="27"/>
      <c r="D442" s="26"/>
      <c r="E442" s="26"/>
      <c r="F442" s="26"/>
      <c r="G442" s="27"/>
      <c r="H442" s="28" t="n">
        <f aca="false">IF(AND(ISNUMBER(D442),ISNUMBER(E442)),D442*E442,0)</f>
        <v>0</v>
      </c>
      <c r="I442" s="29" t="n">
        <f aca="false">IF(AND(ISNUMBER(D442),ISNUMBER(E442),E442&gt;0),ROUND(D442*(1+E442/30),1),0)</f>
        <v>0</v>
      </c>
    </row>
    <row r="443" customFormat="false" ht="15" hidden="false" customHeight="true" outlineLevel="0" collapsed="false">
      <c r="A443" s="25"/>
      <c r="B443" s="26"/>
      <c r="C443" s="27"/>
      <c r="D443" s="26"/>
      <c r="E443" s="26"/>
      <c r="F443" s="26"/>
      <c r="G443" s="27"/>
      <c r="H443" s="28" t="n">
        <f aca="false">IF(AND(ISNUMBER(D443),ISNUMBER(E443)),D443*E443,0)</f>
        <v>0</v>
      </c>
      <c r="I443" s="29" t="n">
        <f aca="false">IF(AND(ISNUMBER(D443),ISNUMBER(E443),E443&gt;0),ROUND(D443*(1+E443/30),1),0)</f>
        <v>0</v>
      </c>
    </row>
    <row r="444" customFormat="false" ht="15" hidden="false" customHeight="true" outlineLevel="0" collapsed="false">
      <c r="A444" s="25"/>
      <c r="B444" s="26"/>
      <c r="C444" s="27"/>
      <c r="D444" s="26"/>
      <c r="E444" s="26"/>
      <c r="F444" s="26"/>
      <c r="G444" s="27"/>
      <c r="H444" s="28" t="n">
        <f aca="false">IF(AND(ISNUMBER(D444),ISNUMBER(E444)),D444*E444,0)</f>
        <v>0</v>
      </c>
      <c r="I444" s="29" t="n">
        <f aca="false">IF(AND(ISNUMBER(D444),ISNUMBER(E444),E444&gt;0),ROUND(D444*(1+E444/30),1),0)</f>
        <v>0</v>
      </c>
    </row>
    <row r="445" customFormat="false" ht="15" hidden="false" customHeight="true" outlineLevel="0" collapsed="false">
      <c r="A445" s="25"/>
      <c r="B445" s="26"/>
      <c r="C445" s="27"/>
      <c r="D445" s="26"/>
      <c r="E445" s="26"/>
      <c r="F445" s="26"/>
      <c r="G445" s="27"/>
      <c r="H445" s="28" t="n">
        <f aca="false">IF(AND(ISNUMBER(D445),ISNUMBER(E445)),D445*E445,0)</f>
        <v>0</v>
      </c>
      <c r="I445" s="29" t="n">
        <f aca="false">IF(AND(ISNUMBER(D445),ISNUMBER(E445),E445&gt;0),ROUND(D445*(1+E445/30),1),0)</f>
        <v>0</v>
      </c>
    </row>
    <row r="446" customFormat="false" ht="15" hidden="false" customHeight="true" outlineLevel="0" collapsed="false">
      <c r="A446" s="25"/>
      <c r="B446" s="26"/>
      <c r="C446" s="27"/>
      <c r="D446" s="26"/>
      <c r="E446" s="26"/>
      <c r="F446" s="26"/>
      <c r="G446" s="27"/>
      <c r="H446" s="28" t="n">
        <f aca="false">IF(AND(ISNUMBER(D446),ISNUMBER(E446)),D446*E446,0)</f>
        <v>0</v>
      </c>
      <c r="I446" s="29" t="n">
        <f aca="false">IF(AND(ISNUMBER(D446),ISNUMBER(E446),E446&gt;0),ROUND(D446*(1+E446/30),1),0)</f>
        <v>0</v>
      </c>
    </row>
    <row r="447" customFormat="false" ht="15" hidden="false" customHeight="true" outlineLevel="0" collapsed="false">
      <c r="A447" s="25"/>
      <c r="B447" s="26"/>
      <c r="C447" s="27"/>
      <c r="D447" s="26"/>
      <c r="E447" s="26"/>
      <c r="F447" s="26"/>
      <c r="G447" s="27"/>
      <c r="H447" s="28" t="n">
        <f aca="false">IF(AND(ISNUMBER(D447),ISNUMBER(E447)),D447*E447,0)</f>
        <v>0</v>
      </c>
      <c r="I447" s="29" t="n">
        <f aca="false">IF(AND(ISNUMBER(D447),ISNUMBER(E447),E447&gt;0),ROUND(D447*(1+E447/30),1),0)</f>
        <v>0</v>
      </c>
    </row>
    <row r="448" customFormat="false" ht="15" hidden="false" customHeight="true" outlineLevel="0" collapsed="false">
      <c r="A448" s="25"/>
      <c r="B448" s="26"/>
      <c r="C448" s="27"/>
      <c r="D448" s="26"/>
      <c r="E448" s="26"/>
      <c r="F448" s="26"/>
      <c r="G448" s="27"/>
      <c r="H448" s="28" t="n">
        <f aca="false">IF(AND(ISNUMBER(D448),ISNUMBER(E448)),D448*E448,0)</f>
        <v>0</v>
      </c>
      <c r="I448" s="29" t="n">
        <f aca="false">IF(AND(ISNUMBER(D448),ISNUMBER(E448),E448&gt;0),ROUND(D448*(1+E448/30),1),0)</f>
        <v>0</v>
      </c>
    </row>
    <row r="449" customFormat="false" ht="15" hidden="false" customHeight="true" outlineLevel="0" collapsed="false">
      <c r="A449" s="25"/>
      <c r="B449" s="26"/>
      <c r="C449" s="27"/>
      <c r="D449" s="26"/>
      <c r="E449" s="26"/>
      <c r="F449" s="26"/>
      <c r="G449" s="27"/>
      <c r="H449" s="28" t="n">
        <f aca="false">IF(AND(ISNUMBER(D449),ISNUMBER(E449)),D449*E449,0)</f>
        <v>0</v>
      </c>
      <c r="I449" s="29" t="n">
        <f aca="false">IF(AND(ISNUMBER(D449),ISNUMBER(E449),E449&gt;0),ROUND(D449*(1+E449/30),1),0)</f>
        <v>0</v>
      </c>
    </row>
    <row r="450" customFormat="false" ht="15" hidden="false" customHeight="true" outlineLevel="0" collapsed="false">
      <c r="A450" s="25"/>
      <c r="B450" s="26"/>
      <c r="C450" s="27"/>
      <c r="D450" s="26"/>
      <c r="E450" s="26"/>
      <c r="F450" s="26"/>
      <c r="G450" s="27"/>
      <c r="H450" s="28" t="n">
        <f aca="false">IF(AND(ISNUMBER(D450),ISNUMBER(E450)),D450*E450,0)</f>
        <v>0</v>
      </c>
      <c r="I450" s="29" t="n">
        <f aca="false">IF(AND(ISNUMBER(D450),ISNUMBER(E450),E450&gt;0),ROUND(D450*(1+E450/30),1),0)</f>
        <v>0</v>
      </c>
    </row>
    <row r="451" customFormat="false" ht="15" hidden="false" customHeight="true" outlineLevel="0" collapsed="false">
      <c r="A451" s="25"/>
      <c r="B451" s="26"/>
      <c r="C451" s="27"/>
      <c r="D451" s="26"/>
      <c r="E451" s="26"/>
      <c r="F451" s="26"/>
      <c r="G451" s="27"/>
      <c r="H451" s="28" t="n">
        <f aca="false">IF(AND(ISNUMBER(D451),ISNUMBER(E451)),D451*E451,0)</f>
        <v>0</v>
      </c>
      <c r="I451" s="29" t="n">
        <f aca="false">IF(AND(ISNUMBER(D451),ISNUMBER(E451),E451&gt;0),ROUND(D451*(1+E451/30),1),0)</f>
        <v>0</v>
      </c>
    </row>
    <row r="452" customFormat="false" ht="15" hidden="false" customHeight="true" outlineLevel="0" collapsed="false">
      <c r="A452" s="25"/>
      <c r="B452" s="26"/>
      <c r="C452" s="27"/>
      <c r="D452" s="26"/>
      <c r="E452" s="26"/>
      <c r="F452" s="26"/>
      <c r="G452" s="27"/>
      <c r="H452" s="28" t="n">
        <f aca="false">IF(AND(ISNUMBER(D452),ISNUMBER(E452)),D452*E452,0)</f>
        <v>0</v>
      </c>
      <c r="I452" s="29" t="n">
        <f aca="false">IF(AND(ISNUMBER(D452),ISNUMBER(E452),E452&gt;0),ROUND(D452*(1+E452/30),1),0)</f>
        <v>0</v>
      </c>
    </row>
    <row r="453" customFormat="false" ht="15" hidden="false" customHeight="true" outlineLevel="0" collapsed="false">
      <c r="A453" s="25"/>
      <c r="B453" s="26"/>
      <c r="C453" s="27"/>
      <c r="D453" s="26"/>
      <c r="E453" s="26"/>
      <c r="F453" s="26"/>
      <c r="G453" s="27"/>
      <c r="H453" s="28" t="n">
        <f aca="false">IF(AND(ISNUMBER(D453),ISNUMBER(E453)),D453*E453,0)</f>
        <v>0</v>
      </c>
      <c r="I453" s="29" t="n">
        <f aca="false">IF(AND(ISNUMBER(D453),ISNUMBER(E453),E453&gt;0),ROUND(D453*(1+E453/30),1),0)</f>
        <v>0</v>
      </c>
    </row>
    <row r="454" customFormat="false" ht="15" hidden="false" customHeight="true" outlineLevel="0" collapsed="false">
      <c r="A454" s="25"/>
      <c r="B454" s="26"/>
      <c r="C454" s="27"/>
      <c r="D454" s="26"/>
      <c r="E454" s="26"/>
      <c r="F454" s="26"/>
      <c r="G454" s="27"/>
      <c r="H454" s="28" t="n">
        <f aca="false">IF(AND(ISNUMBER(D454),ISNUMBER(E454)),D454*E454,0)</f>
        <v>0</v>
      </c>
      <c r="I454" s="29" t="n">
        <f aca="false">IF(AND(ISNUMBER(D454),ISNUMBER(E454),E454&gt;0),ROUND(D454*(1+E454/30),1),0)</f>
        <v>0</v>
      </c>
    </row>
    <row r="455" customFormat="false" ht="15" hidden="false" customHeight="true" outlineLevel="0" collapsed="false">
      <c r="A455" s="25"/>
      <c r="B455" s="26"/>
      <c r="C455" s="27"/>
      <c r="D455" s="26"/>
      <c r="E455" s="26"/>
      <c r="F455" s="26"/>
      <c r="G455" s="27"/>
      <c r="H455" s="28" t="n">
        <f aca="false">IF(AND(ISNUMBER(D455),ISNUMBER(E455)),D455*E455,0)</f>
        <v>0</v>
      </c>
      <c r="I455" s="29" t="n">
        <f aca="false">IF(AND(ISNUMBER(D455),ISNUMBER(E455),E455&gt;0),ROUND(D455*(1+E455/30),1),0)</f>
        <v>0</v>
      </c>
    </row>
    <row r="456" customFormat="false" ht="15" hidden="false" customHeight="true" outlineLevel="0" collapsed="false">
      <c r="A456" s="25"/>
      <c r="B456" s="26"/>
      <c r="C456" s="27"/>
      <c r="D456" s="26"/>
      <c r="E456" s="26"/>
      <c r="F456" s="26"/>
      <c r="G456" s="27"/>
      <c r="H456" s="28" t="n">
        <f aca="false">IF(AND(ISNUMBER(D456),ISNUMBER(E456)),D456*E456,0)</f>
        <v>0</v>
      </c>
      <c r="I456" s="29" t="n">
        <f aca="false">IF(AND(ISNUMBER(D456),ISNUMBER(E456),E456&gt;0),ROUND(D456*(1+E456/30),1),0)</f>
        <v>0</v>
      </c>
    </row>
    <row r="457" customFormat="false" ht="15" hidden="false" customHeight="true" outlineLevel="0" collapsed="false">
      <c r="A457" s="25"/>
      <c r="B457" s="26"/>
      <c r="C457" s="27"/>
      <c r="D457" s="26"/>
      <c r="E457" s="26"/>
      <c r="F457" s="26"/>
      <c r="G457" s="27"/>
      <c r="H457" s="28" t="n">
        <f aca="false">IF(AND(ISNUMBER(D457),ISNUMBER(E457)),D457*E457,0)</f>
        <v>0</v>
      </c>
      <c r="I457" s="29" t="n">
        <f aca="false">IF(AND(ISNUMBER(D457),ISNUMBER(E457),E457&gt;0),ROUND(D457*(1+E457/30),1),0)</f>
        <v>0</v>
      </c>
    </row>
    <row r="458" customFormat="false" ht="15" hidden="false" customHeight="true" outlineLevel="0" collapsed="false">
      <c r="A458" s="25"/>
      <c r="B458" s="26"/>
      <c r="C458" s="27"/>
      <c r="D458" s="26"/>
      <c r="E458" s="26"/>
      <c r="F458" s="26"/>
      <c r="G458" s="27"/>
      <c r="H458" s="28" t="n">
        <f aca="false">IF(AND(ISNUMBER(D458),ISNUMBER(E458)),D458*E458,0)</f>
        <v>0</v>
      </c>
      <c r="I458" s="29" t="n">
        <f aca="false">IF(AND(ISNUMBER(D458),ISNUMBER(E458),E458&gt;0),ROUND(D458*(1+E458/30),1),0)</f>
        <v>0</v>
      </c>
    </row>
    <row r="459" customFormat="false" ht="15" hidden="false" customHeight="true" outlineLevel="0" collapsed="false">
      <c r="A459" s="25"/>
      <c r="B459" s="26"/>
      <c r="C459" s="27"/>
      <c r="D459" s="26"/>
      <c r="E459" s="26"/>
      <c r="F459" s="26"/>
      <c r="G459" s="27"/>
      <c r="H459" s="28" t="n">
        <f aca="false">IF(AND(ISNUMBER(D459),ISNUMBER(E459)),D459*E459,0)</f>
        <v>0</v>
      </c>
      <c r="I459" s="29" t="n">
        <f aca="false">IF(AND(ISNUMBER(D459),ISNUMBER(E459),E459&gt;0),ROUND(D459*(1+E459/30),1),0)</f>
        <v>0</v>
      </c>
    </row>
    <row r="460" customFormat="false" ht="15" hidden="false" customHeight="true" outlineLevel="0" collapsed="false">
      <c r="A460" s="25"/>
      <c r="B460" s="26"/>
      <c r="C460" s="27"/>
      <c r="D460" s="26"/>
      <c r="E460" s="26"/>
      <c r="F460" s="26"/>
      <c r="G460" s="27"/>
      <c r="H460" s="28" t="n">
        <f aca="false">IF(AND(ISNUMBER(D460),ISNUMBER(E460)),D460*E460,0)</f>
        <v>0</v>
      </c>
      <c r="I460" s="29" t="n">
        <f aca="false">IF(AND(ISNUMBER(D460),ISNUMBER(E460),E460&gt;0),ROUND(D460*(1+E460/30),1),0)</f>
        <v>0</v>
      </c>
    </row>
    <row r="461" customFormat="false" ht="15" hidden="false" customHeight="true" outlineLevel="0" collapsed="false">
      <c r="A461" s="25"/>
      <c r="B461" s="26"/>
      <c r="C461" s="27"/>
      <c r="D461" s="26"/>
      <c r="E461" s="26"/>
      <c r="F461" s="26"/>
      <c r="G461" s="27"/>
      <c r="H461" s="28" t="n">
        <f aca="false">IF(AND(ISNUMBER(D461),ISNUMBER(E461)),D461*E461,0)</f>
        <v>0</v>
      </c>
      <c r="I461" s="29" t="n">
        <f aca="false">IF(AND(ISNUMBER(D461),ISNUMBER(E461),E461&gt;0),ROUND(D461*(1+E461/30),1),0)</f>
        <v>0</v>
      </c>
    </row>
    <row r="462" customFormat="false" ht="15" hidden="false" customHeight="true" outlineLevel="0" collapsed="false">
      <c r="A462" s="25"/>
      <c r="B462" s="26"/>
      <c r="C462" s="27"/>
      <c r="D462" s="26"/>
      <c r="E462" s="26"/>
      <c r="F462" s="26"/>
      <c r="G462" s="27"/>
      <c r="H462" s="28" t="n">
        <f aca="false">IF(AND(ISNUMBER(D462),ISNUMBER(E462)),D462*E462,0)</f>
        <v>0</v>
      </c>
      <c r="I462" s="29" t="n">
        <f aca="false">IF(AND(ISNUMBER(D462),ISNUMBER(E462),E462&gt;0),ROUND(D462*(1+E462/30),1),0)</f>
        <v>0</v>
      </c>
    </row>
    <row r="463" customFormat="false" ht="15" hidden="false" customHeight="true" outlineLevel="0" collapsed="false">
      <c r="A463" s="25"/>
      <c r="B463" s="26"/>
      <c r="C463" s="27"/>
      <c r="D463" s="26"/>
      <c r="E463" s="26"/>
      <c r="F463" s="26"/>
      <c r="G463" s="27"/>
      <c r="H463" s="28" t="n">
        <f aca="false">IF(AND(ISNUMBER(D463),ISNUMBER(E463)),D463*E463,0)</f>
        <v>0</v>
      </c>
      <c r="I463" s="29" t="n">
        <f aca="false">IF(AND(ISNUMBER(D463),ISNUMBER(E463),E463&gt;0),ROUND(D463*(1+E463/30),1),0)</f>
        <v>0</v>
      </c>
    </row>
    <row r="464" customFormat="false" ht="15" hidden="false" customHeight="true" outlineLevel="0" collapsed="false">
      <c r="A464" s="25"/>
      <c r="B464" s="26"/>
      <c r="C464" s="27"/>
      <c r="D464" s="26"/>
      <c r="E464" s="26"/>
      <c r="F464" s="26"/>
      <c r="G464" s="27"/>
      <c r="H464" s="28" t="n">
        <f aca="false">IF(AND(ISNUMBER(D464),ISNUMBER(E464)),D464*E464,0)</f>
        <v>0</v>
      </c>
      <c r="I464" s="29" t="n">
        <f aca="false">IF(AND(ISNUMBER(D464),ISNUMBER(E464),E464&gt;0),ROUND(D464*(1+E464/30),1),0)</f>
        <v>0</v>
      </c>
    </row>
    <row r="465" customFormat="false" ht="15" hidden="false" customHeight="true" outlineLevel="0" collapsed="false">
      <c r="A465" s="25"/>
      <c r="B465" s="26"/>
      <c r="C465" s="27"/>
      <c r="D465" s="26"/>
      <c r="E465" s="26"/>
      <c r="F465" s="26"/>
      <c r="G465" s="27"/>
      <c r="H465" s="28" t="n">
        <f aca="false">IF(AND(ISNUMBER(D465),ISNUMBER(E465)),D465*E465,0)</f>
        <v>0</v>
      </c>
      <c r="I465" s="29" t="n">
        <f aca="false">IF(AND(ISNUMBER(D465),ISNUMBER(E465),E465&gt;0),ROUND(D465*(1+E465/30),1),0)</f>
        <v>0</v>
      </c>
    </row>
    <row r="466" customFormat="false" ht="15" hidden="false" customHeight="true" outlineLevel="0" collapsed="false">
      <c r="A466" s="25"/>
      <c r="B466" s="26"/>
      <c r="C466" s="27"/>
      <c r="D466" s="26"/>
      <c r="E466" s="26"/>
      <c r="F466" s="26"/>
      <c r="G466" s="27"/>
      <c r="H466" s="28" t="n">
        <f aca="false">IF(AND(ISNUMBER(D466),ISNUMBER(E466)),D466*E466,0)</f>
        <v>0</v>
      </c>
      <c r="I466" s="29" t="n">
        <f aca="false">IF(AND(ISNUMBER(D466),ISNUMBER(E466),E466&gt;0),ROUND(D466*(1+E466/30),1),0)</f>
        <v>0</v>
      </c>
    </row>
    <row r="467" customFormat="false" ht="15" hidden="false" customHeight="true" outlineLevel="0" collapsed="false">
      <c r="A467" s="25"/>
      <c r="B467" s="26"/>
      <c r="C467" s="27"/>
      <c r="D467" s="26"/>
      <c r="E467" s="26"/>
      <c r="F467" s="26"/>
      <c r="G467" s="27"/>
      <c r="H467" s="28" t="n">
        <f aca="false">IF(AND(ISNUMBER(D467),ISNUMBER(E467)),D467*E467,0)</f>
        <v>0</v>
      </c>
      <c r="I467" s="29" t="n">
        <f aca="false">IF(AND(ISNUMBER(D467),ISNUMBER(E467),E467&gt;0),ROUND(D467*(1+E467/30),1),0)</f>
        <v>0</v>
      </c>
    </row>
    <row r="468" customFormat="false" ht="15" hidden="false" customHeight="true" outlineLevel="0" collapsed="false">
      <c r="A468" s="25"/>
      <c r="B468" s="26"/>
      <c r="C468" s="27"/>
      <c r="D468" s="26"/>
      <c r="E468" s="26"/>
      <c r="F468" s="26"/>
      <c r="G468" s="27"/>
      <c r="H468" s="28" t="n">
        <f aca="false">IF(AND(ISNUMBER(D468),ISNUMBER(E468)),D468*E468,0)</f>
        <v>0</v>
      </c>
      <c r="I468" s="29" t="n">
        <f aca="false">IF(AND(ISNUMBER(D468),ISNUMBER(E468),E468&gt;0),ROUND(D468*(1+E468/30),1),0)</f>
        <v>0</v>
      </c>
    </row>
    <row r="469" customFormat="false" ht="15" hidden="false" customHeight="true" outlineLevel="0" collapsed="false">
      <c r="A469" s="25"/>
      <c r="B469" s="26"/>
      <c r="C469" s="27"/>
      <c r="D469" s="26"/>
      <c r="E469" s="26"/>
      <c r="F469" s="26"/>
      <c r="G469" s="27"/>
      <c r="H469" s="28" t="n">
        <f aca="false">IF(AND(ISNUMBER(D469),ISNUMBER(E469)),D469*E469,0)</f>
        <v>0</v>
      </c>
      <c r="I469" s="29" t="n">
        <f aca="false">IF(AND(ISNUMBER(D469),ISNUMBER(E469),E469&gt;0),ROUND(D469*(1+E469/30),1),0)</f>
        <v>0</v>
      </c>
    </row>
    <row r="470" customFormat="false" ht="15" hidden="false" customHeight="true" outlineLevel="0" collapsed="false">
      <c r="A470" s="25"/>
      <c r="B470" s="26"/>
      <c r="C470" s="27"/>
      <c r="D470" s="26"/>
      <c r="E470" s="26"/>
      <c r="F470" s="26"/>
      <c r="G470" s="27"/>
      <c r="H470" s="28" t="n">
        <f aca="false">IF(AND(ISNUMBER(D470),ISNUMBER(E470)),D470*E470,0)</f>
        <v>0</v>
      </c>
      <c r="I470" s="29" t="n">
        <f aca="false">IF(AND(ISNUMBER(D470),ISNUMBER(E470),E470&gt;0),ROUND(D470*(1+E470/30),1),0)</f>
        <v>0</v>
      </c>
    </row>
    <row r="471" customFormat="false" ht="15" hidden="false" customHeight="true" outlineLevel="0" collapsed="false">
      <c r="A471" s="25"/>
      <c r="B471" s="26"/>
      <c r="C471" s="27"/>
      <c r="D471" s="26"/>
      <c r="E471" s="26"/>
      <c r="F471" s="26"/>
      <c r="G471" s="27"/>
      <c r="H471" s="28" t="n">
        <f aca="false">IF(AND(ISNUMBER(D471),ISNUMBER(E471)),D471*E471,0)</f>
        <v>0</v>
      </c>
      <c r="I471" s="29" t="n">
        <f aca="false">IF(AND(ISNUMBER(D471),ISNUMBER(E471),E471&gt;0),ROUND(D471*(1+E471/30),1),0)</f>
        <v>0</v>
      </c>
    </row>
    <row r="472" customFormat="false" ht="15" hidden="false" customHeight="true" outlineLevel="0" collapsed="false">
      <c r="A472" s="25"/>
      <c r="B472" s="26"/>
      <c r="C472" s="27"/>
      <c r="D472" s="26"/>
      <c r="E472" s="26"/>
      <c r="F472" s="26"/>
      <c r="G472" s="27"/>
      <c r="H472" s="28" t="n">
        <f aca="false">IF(AND(ISNUMBER(D472),ISNUMBER(E472)),D472*E472,0)</f>
        <v>0</v>
      </c>
      <c r="I472" s="29" t="n">
        <f aca="false">IF(AND(ISNUMBER(D472),ISNUMBER(E472),E472&gt;0),ROUND(D472*(1+E472/30),1),0)</f>
        <v>0</v>
      </c>
    </row>
    <row r="473" customFormat="false" ht="15" hidden="false" customHeight="true" outlineLevel="0" collapsed="false">
      <c r="A473" s="25"/>
      <c r="B473" s="26"/>
      <c r="C473" s="27"/>
      <c r="D473" s="26"/>
      <c r="E473" s="26"/>
      <c r="F473" s="26"/>
      <c r="G473" s="27"/>
      <c r="H473" s="28" t="n">
        <f aca="false">IF(AND(ISNUMBER(D473),ISNUMBER(E473)),D473*E473,0)</f>
        <v>0</v>
      </c>
      <c r="I473" s="29" t="n">
        <f aca="false">IF(AND(ISNUMBER(D473),ISNUMBER(E473),E473&gt;0),ROUND(D473*(1+E473/30),1),0)</f>
        <v>0</v>
      </c>
    </row>
    <row r="474" customFormat="false" ht="15" hidden="false" customHeight="true" outlineLevel="0" collapsed="false">
      <c r="A474" s="25"/>
      <c r="B474" s="26"/>
      <c r="C474" s="27"/>
      <c r="D474" s="26"/>
      <c r="E474" s="26"/>
      <c r="F474" s="26"/>
      <c r="G474" s="27"/>
      <c r="H474" s="28" t="n">
        <f aca="false">IF(AND(ISNUMBER(D474),ISNUMBER(E474)),D474*E474,0)</f>
        <v>0</v>
      </c>
      <c r="I474" s="29" t="n">
        <f aca="false">IF(AND(ISNUMBER(D474),ISNUMBER(E474),E474&gt;0),ROUND(D474*(1+E474/30),1),0)</f>
        <v>0</v>
      </c>
    </row>
    <row r="475" customFormat="false" ht="15" hidden="false" customHeight="true" outlineLevel="0" collapsed="false">
      <c r="A475" s="25"/>
      <c r="B475" s="26"/>
      <c r="C475" s="27"/>
      <c r="D475" s="26"/>
      <c r="E475" s="26"/>
      <c r="F475" s="26"/>
      <c r="G475" s="27"/>
      <c r="H475" s="28" t="n">
        <f aca="false">IF(AND(ISNUMBER(D475),ISNUMBER(E475)),D475*E475,0)</f>
        <v>0</v>
      </c>
      <c r="I475" s="29" t="n">
        <f aca="false">IF(AND(ISNUMBER(D475),ISNUMBER(E475),E475&gt;0),ROUND(D475*(1+E475/30),1),0)</f>
        <v>0</v>
      </c>
    </row>
    <row r="476" customFormat="false" ht="15" hidden="false" customHeight="true" outlineLevel="0" collapsed="false">
      <c r="A476" s="25"/>
      <c r="B476" s="26"/>
      <c r="C476" s="27"/>
      <c r="D476" s="26"/>
      <c r="E476" s="26"/>
      <c r="F476" s="26"/>
      <c r="G476" s="27"/>
      <c r="H476" s="28" t="n">
        <f aca="false">IF(AND(ISNUMBER(D476),ISNUMBER(E476)),D476*E476,0)</f>
        <v>0</v>
      </c>
      <c r="I476" s="29" t="n">
        <f aca="false">IF(AND(ISNUMBER(D476),ISNUMBER(E476),E476&gt;0),ROUND(D476*(1+E476/30),1),0)</f>
        <v>0</v>
      </c>
    </row>
    <row r="477" customFormat="false" ht="15" hidden="false" customHeight="true" outlineLevel="0" collapsed="false">
      <c r="A477" s="25"/>
      <c r="B477" s="26"/>
      <c r="C477" s="27"/>
      <c r="D477" s="26"/>
      <c r="E477" s="26"/>
      <c r="F477" s="26"/>
      <c r="G477" s="27"/>
      <c r="H477" s="28" t="n">
        <f aca="false">IF(AND(ISNUMBER(D477),ISNUMBER(E477)),D477*E477,0)</f>
        <v>0</v>
      </c>
      <c r="I477" s="29" t="n">
        <f aca="false">IF(AND(ISNUMBER(D477),ISNUMBER(E477),E477&gt;0),ROUND(D477*(1+E477/30),1),0)</f>
        <v>0</v>
      </c>
    </row>
    <row r="478" customFormat="false" ht="15" hidden="false" customHeight="true" outlineLevel="0" collapsed="false">
      <c r="A478" s="25"/>
      <c r="B478" s="26"/>
      <c r="C478" s="27"/>
      <c r="D478" s="26"/>
      <c r="E478" s="26"/>
      <c r="F478" s="26"/>
      <c r="G478" s="27"/>
      <c r="H478" s="28" t="n">
        <f aca="false">IF(AND(ISNUMBER(D478),ISNUMBER(E478)),D478*E478,0)</f>
        <v>0</v>
      </c>
      <c r="I478" s="29" t="n">
        <f aca="false">IF(AND(ISNUMBER(D478),ISNUMBER(E478),E478&gt;0),ROUND(D478*(1+E478/30),1),0)</f>
        <v>0</v>
      </c>
    </row>
    <row r="479" customFormat="false" ht="15" hidden="false" customHeight="true" outlineLevel="0" collapsed="false">
      <c r="A479" s="25"/>
      <c r="B479" s="26"/>
      <c r="C479" s="27"/>
      <c r="D479" s="26"/>
      <c r="E479" s="26"/>
      <c r="F479" s="26"/>
      <c r="G479" s="27"/>
      <c r="H479" s="28" t="n">
        <f aca="false">IF(AND(ISNUMBER(D479),ISNUMBER(E479)),D479*E479,0)</f>
        <v>0</v>
      </c>
      <c r="I479" s="29" t="n">
        <f aca="false">IF(AND(ISNUMBER(D479),ISNUMBER(E479),E479&gt;0),ROUND(D479*(1+E479/30),1),0)</f>
        <v>0</v>
      </c>
    </row>
    <row r="480" customFormat="false" ht="15" hidden="false" customHeight="true" outlineLevel="0" collapsed="false">
      <c r="A480" s="25"/>
      <c r="B480" s="26"/>
      <c r="C480" s="27"/>
      <c r="D480" s="26"/>
      <c r="E480" s="26"/>
      <c r="F480" s="26"/>
      <c r="G480" s="27"/>
      <c r="H480" s="28" t="n">
        <f aca="false">IF(AND(ISNUMBER(D480),ISNUMBER(E480)),D480*E480,0)</f>
        <v>0</v>
      </c>
      <c r="I480" s="29" t="n">
        <f aca="false">IF(AND(ISNUMBER(D480),ISNUMBER(E480),E480&gt;0),ROUND(D480*(1+E480/30),1),0)</f>
        <v>0</v>
      </c>
    </row>
    <row r="481" customFormat="false" ht="15" hidden="false" customHeight="true" outlineLevel="0" collapsed="false">
      <c r="A481" s="25"/>
      <c r="B481" s="26"/>
      <c r="C481" s="27"/>
      <c r="D481" s="26"/>
      <c r="E481" s="26"/>
      <c r="F481" s="26"/>
      <c r="G481" s="27"/>
      <c r="H481" s="28" t="n">
        <f aca="false">IF(AND(ISNUMBER(D481),ISNUMBER(E481)),D481*E481,0)</f>
        <v>0</v>
      </c>
      <c r="I481" s="29" t="n">
        <f aca="false">IF(AND(ISNUMBER(D481),ISNUMBER(E481),E481&gt;0),ROUND(D481*(1+E481/30),1),0)</f>
        <v>0</v>
      </c>
    </row>
    <row r="482" customFormat="false" ht="15" hidden="false" customHeight="true" outlineLevel="0" collapsed="false">
      <c r="A482" s="25"/>
      <c r="B482" s="26"/>
      <c r="C482" s="27"/>
      <c r="D482" s="26"/>
      <c r="E482" s="26"/>
      <c r="F482" s="26"/>
      <c r="G482" s="27"/>
      <c r="H482" s="28" t="n">
        <f aca="false">IF(AND(ISNUMBER(D482),ISNUMBER(E482)),D482*E482,0)</f>
        <v>0</v>
      </c>
      <c r="I482" s="29" t="n">
        <f aca="false">IF(AND(ISNUMBER(D482),ISNUMBER(E482),E482&gt;0),ROUND(D482*(1+E482/30),1),0)</f>
        <v>0</v>
      </c>
    </row>
    <row r="483" customFormat="false" ht="15" hidden="false" customHeight="true" outlineLevel="0" collapsed="false">
      <c r="A483" s="25"/>
      <c r="B483" s="26"/>
      <c r="C483" s="27"/>
      <c r="D483" s="26"/>
      <c r="E483" s="26"/>
      <c r="F483" s="26"/>
      <c r="G483" s="27"/>
      <c r="H483" s="28" t="n">
        <f aca="false">IF(AND(ISNUMBER(D483),ISNUMBER(E483)),D483*E483,0)</f>
        <v>0</v>
      </c>
      <c r="I483" s="29" t="n">
        <f aca="false">IF(AND(ISNUMBER(D483),ISNUMBER(E483),E483&gt;0),ROUND(D483*(1+E483/30),1),0)</f>
        <v>0</v>
      </c>
    </row>
    <row r="484" customFormat="false" ht="15" hidden="false" customHeight="true" outlineLevel="0" collapsed="false">
      <c r="A484" s="25"/>
      <c r="B484" s="26"/>
      <c r="C484" s="27"/>
      <c r="D484" s="26"/>
      <c r="E484" s="26"/>
      <c r="F484" s="26"/>
      <c r="G484" s="27"/>
      <c r="H484" s="28" t="n">
        <f aca="false">IF(AND(ISNUMBER(D484),ISNUMBER(E484)),D484*E484,0)</f>
        <v>0</v>
      </c>
      <c r="I484" s="29" t="n">
        <f aca="false">IF(AND(ISNUMBER(D484),ISNUMBER(E484),E484&gt;0),ROUND(D484*(1+E484/30),1),0)</f>
        <v>0</v>
      </c>
    </row>
    <row r="485" customFormat="false" ht="15" hidden="false" customHeight="true" outlineLevel="0" collapsed="false">
      <c r="A485" s="25"/>
      <c r="B485" s="26"/>
      <c r="C485" s="27"/>
      <c r="D485" s="26"/>
      <c r="E485" s="26"/>
      <c r="F485" s="26"/>
      <c r="G485" s="27"/>
      <c r="H485" s="28" t="n">
        <f aca="false">IF(AND(ISNUMBER(D485),ISNUMBER(E485)),D485*E485,0)</f>
        <v>0</v>
      </c>
      <c r="I485" s="29" t="n">
        <f aca="false">IF(AND(ISNUMBER(D485),ISNUMBER(E485),E485&gt;0),ROUND(D485*(1+E485/30),1),0)</f>
        <v>0</v>
      </c>
    </row>
    <row r="486" customFormat="false" ht="15" hidden="false" customHeight="true" outlineLevel="0" collapsed="false">
      <c r="A486" s="25"/>
      <c r="B486" s="26"/>
      <c r="C486" s="27"/>
      <c r="D486" s="26"/>
      <c r="E486" s="26"/>
      <c r="F486" s="26"/>
      <c r="G486" s="27"/>
      <c r="H486" s="28" t="n">
        <f aca="false">IF(AND(ISNUMBER(D486),ISNUMBER(E486)),D486*E486,0)</f>
        <v>0</v>
      </c>
      <c r="I486" s="29" t="n">
        <f aca="false">IF(AND(ISNUMBER(D486),ISNUMBER(E486),E486&gt;0),ROUND(D486*(1+E486/30),1),0)</f>
        <v>0</v>
      </c>
    </row>
    <row r="487" customFormat="false" ht="15" hidden="false" customHeight="true" outlineLevel="0" collapsed="false">
      <c r="A487" s="25"/>
      <c r="B487" s="26"/>
      <c r="C487" s="27"/>
      <c r="D487" s="26"/>
      <c r="E487" s="26"/>
      <c r="F487" s="26"/>
      <c r="G487" s="27"/>
      <c r="H487" s="28" t="n">
        <f aca="false">IF(AND(ISNUMBER(D487),ISNUMBER(E487)),D487*E487,0)</f>
        <v>0</v>
      </c>
      <c r="I487" s="29" t="n">
        <f aca="false">IF(AND(ISNUMBER(D487),ISNUMBER(E487),E487&gt;0),ROUND(D487*(1+E487/30),1),0)</f>
        <v>0</v>
      </c>
    </row>
    <row r="488" customFormat="false" ht="15" hidden="false" customHeight="true" outlineLevel="0" collapsed="false">
      <c r="A488" s="25"/>
      <c r="B488" s="26"/>
      <c r="C488" s="27"/>
      <c r="D488" s="26"/>
      <c r="E488" s="26"/>
      <c r="F488" s="26"/>
      <c r="G488" s="27"/>
      <c r="H488" s="28" t="n">
        <f aca="false">IF(AND(ISNUMBER(D488),ISNUMBER(E488)),D488*E488,0)</f>
        <v>0</v>
      </c>
      <c r="I488" s="29" t="n">
        <f aca="false">IF(AND(ISNUMBER(D488),ISNUMBER(E488),E488&gt;0),ROUND(D488*(1+E488/30),1),0)</f>
        <v>0</v>
      </c>
    </row>
    <row r="489" customFormat="false" ht="15" hidden="false" customHeight="true" outlineLevel="0" collapsed="false">
      <c r="A489" s="25"/>
      <c r="B489" s="26"/>
      <c r="C489" s="27"/>
      <c r="D489" s="26"/>
      <c r="E489" s="26"/>
      <c r="F489" s="26"/>
      <c r="G489" s="27"/>
      <c r="H489" s="28" t="n">
        <f aca="false">IF(AND(ISNUMBER(D489),ISNUMBER(E489)),D489*E489,0)</f>
        <v>0</v>
      </c>
      <c r="I489" s="29" t="n">
        <f aca="false">IF(AND(ISNUMBER(D489),ISNUMBER(E489),E489&gt;0),ROUND(D489*(1+E489/30),1),0)</f>
        <v>0</v>
      </c>
    </row>
    <row r="490" customFormat="false" ht="15" hidden="false" customHeight="true" outlineLevel="0" collapsed="false">
      <c r="A490" s="25"/>
      <c r="B490" s="26"/>
      <c r="C490" s="27"/>
      <c r="D490" s="26"/>
      <c r="E490" s="26"/>
      <c r="F490" s="26"/>
      <c r="G490" s="27"/>
      <c r="H490" s="28" t="n">
        <f aca="false">IF(AND(ISNUMBER(D490),ISNUMBER(E490)),D490*E490,0)</f>
        <v>0</v>
      </c>
      <c r="I490" s="29" t="n">
        <f aca="false">IF(AND(ISNUMBER(D490),ISNUMBER(E490),E490&gt;0),ROUND(D490*(1+E490/30),1),0)</f>
        <v>0</v>
      </c>
    </row>
    <row r="491" customFormat="false" ht="15" hidden="false" customHeight="true" outlineLevel="0" collapsed="false">
      <c r="A491" s="25"/>
      <c r="B491" s="26"/>
      <c r="C491" s="27"/>
      <c r="D491" s="26"/>
      <c r="E491" s="26"/>
      <c r="F491" s="26"/>
      <c r="G491" s="27"/>
      <c r="H491" s="28" t="n">
        <f aca="false">IF(AND(ISNUMBER(D491),ISNUMBER(E491)),D491*E491,0)</f>
        <v>0</v>
      </c>
      <c r="I491" s="29" t="n">
        <f aca="false">IF(AND(ISNUMBER(D491),ISNUMBER(E491),E491&gt;0),ROUND(D491*(1+E491/30),1),0)</f>
        <v>0</v>
      </c>
    </row>
    <row r="492" customFormat="false" ht="15" hidden="false" customHeight="true" outlineLevel="0" collapsed="false">
      <c r="A492" s="25"/>
      <c r="B492" s="26"/>
      <c r="C492" s="27"/>
      <c r="D492" s="26"/>
      <c r="E492" s="26"/>
      <c r="F492" s="26"/>
      <c r="G492" s="27"/>
      <c r="H492" s="28" t="n">
        <f aca="false">IF(AND(ISNUMBER(D492),ISNUMBER(E492)),D492*E492,0)</f>
        <v>0</v>
      </c>
      <c r="I492" s="29" t="n">
        <f aca="false">IF(AND(ISNUMBER(D492),ISNUMBER(E492),E492&gt;0),ROUND(D492*(1+E492/30),1),0)</f>
        <v>0</v>
      </c>
    </row>
    <row r="493" customFormat="false" ht="15" hidden="false" customHeight="true" outlineLevel="0" collapsed="false">
      <c r="A493" s="25"/>
      <c r="B493" s="26"/>
      <c r="C493" s="27"/>
      <c r="D493" s="26"/>
      <c r="E493" s="26"/>
      <c r="F493" s="26"/>
      <c r="G493" s="27"/>
      <c r="H493" s="28" t="n">
        <f aca="false">IF(AND(ISNUMBER(D493),ISNUMBER(E493)),D493*E493,0)</f>
        <v>0</v>
      </c>
      <c r="I493" s="29" t="n">
        <f aca="false">IF(AND(ISNUMBER(D493),ISNUMBER(E493),E493&gt;0),ROUND(D493*(1+E493/30),1),0)</f>
        <v>0</v>
      </c>
    </row>
    <row r="494" customFormat="false" ht="15" hidden="false" customHeight="true" outlineLevel="0" collapsed="false">
      <c r="A494" s="25"/>
      <c r="B494" s="26"/>
      <c r="C494" s="27"/>
      <c r="D494" s="26"/>
      <c r="E494" s="26"/>
      <c r="F494" s="26"/>
      <c r="G494" s="27"/>
      <c r="H494" s="28" t="n">
        <f aca="false">IF(AND(ISNUMBER(D494),ISNUMBER(E494)),D494*E494,0)</f>
        <v>0</v>
      </c>
      <c r="I494" s="29" t="n">
        <f aca="false">IF(AND(ISNUMBER(D494),ISNUMBER(E494),E494&gt;0),ROUND(D494*(1+E494/30),1),0)</f>
        <v>0</v>
      </c>
    </row>
    <row r="495" customFormat="false" ht="15" hidden="false" customHeight="true" outlineLevel="0" collapsed="false">
      <c r="A495" s="25"/>
      <c r="B495" s="26"/>
      <c r="C495" s="27"/>
      <c r="D495" s="26"/>
      <c r="E495" s="26"/>
      <c r="F495" s="26"/>
      <c r="G495" s="27"/>
      <c r="H495" s="28" t="n">
        <f aca="false">IF(AND(ISNUMBER(D495),ISNUMBER(E495)),D495*E495,0)</f>
        <v>0</v>
      </c>
      <c r="I495" s="29" t="n">
        <f aca="false">IF(AND(ISNUMBER(D495),ISNUMBER(E495),E495&gt;0),ROUND(D495*(1+E495/30),1),0)</f>
        <v>0</v>
      </c>
    </row>
    <row r="496" customFormat="false" ht="15" hidden="false" customHeight="true" outlineLevel="0" collapsed="false">
      <c r="A496" s="25"/>
      <c r="B496" s="26"/>
      <c r="C496" s="27"/>
      <c r="D496" s="26"/>
      <c r="E496" s="26"/>
      <c r="F496" s="26"/>
      <c r="G496" s="27"/>
      <c r="H496" s="28" t="n">
        <f aca="false">IF(AND(ISNUMBER(D496),ISNUMBER(E496)),D496*E496,0)</f>
        <v>0</v>
      </c>
      <c r="I496" s="29" t="n">
        <f aca="false">IF(AND(ISNUMBER(D496),ISNUMBER(E496),E496&gt;0),ROUND(D496*(1+E496/30),1),0)</f>
        <v>0</v>
      </c>
    </row>
    <row r="497" customFormat="false" ht="15" hidden="false" customHeight="true" outlineLevel="0" collapsed="false">
      <c r="A497" s="25"/>
      <c r="B497" s="26"/>
      <c r="C497" s="27"/>
      <c r="D497" s="26"/>
      <c r="E497" s="26"/>
      <c r="F497" s="26"/>
      <c r="G497" s="27"/>
      <c r="H497" s="28" t="n">
        <f aca="false">IF(AND(ISNUMBER(D497),ISNUMBER(E497)),D497*E497,0)</f>
        <v>0</v>
      </c>
      <c r="I497" s="29" t="n">
        <f aca="false">IF(AND(ISNUMBER(D497),ISNUMBER(E497),E497&gt;0),ROUND(D497*(1+E497/30),1),0)</f>
        <v>0</v>
      </c>
    </row>
    <row r="498" customFormat="false" ht="15" hidden="false" customHeight="true" outlineLevel="0" collapsed="false">
      <c r="A498" s="25"/>
      <c r="B498" s="26"/>
      <c r="C498" s="27"/>
      <c r="D498" s="26"/>
      <c r="E498" s="26"/>
      <c r="F498" s="26"/>
      <c r="G498" s="27"/>
      <c r="H498" s="28" t="n">
        <f aca="false">IF(AND(ISNUMBER(D498),ISNUMBER(E498)),D498*E498,0)</f>
        <v>0</v>
      </c>
      <c r="I498" s="29" t="n">
        <f aca="false">IF(AND(ISNUMBER(D498),ISNUMBER(E498),E498&gt;0),ROUND(D498*(1+E498/30),1),0)</f>
        <v>0</v>
      </c>
    </row>
    <row r="499" customFormat="false" ht="15" hidden="false" customHeight="true" outlineLevel="0" collapsed="false">
      <c r="A499" s="25"/>
      <c r="B499" s="26"/>
      <c r="C499" s="27"/>
      <c r="D499" s="26"/>
      <c r="E499" s="26"/>
      <c r="F499" s="26"/>
      <c r="G499" s="27"/>
      <c r="H499" s="28" t="n">
        <f aca="false">IF(AND(ISNUMBER(D499),ISNUMBER(E499)),D499*E499,0)</f>
        <v>0</v>
      </c>
      <c r="I499" s="29" t="n">
        <f aca="false">IF(AND(ISNUMBER(D499),ISNUMBER(E499),E499&gt;0),ROUND(D499*(1+E499/30),1),0)</f>
        <v>0</v>
      </c>
    </row>
    <row r="500" customFormat="false" ht="15" hidden="false" customHeight="true" outlineLevel="0" collapsed="false">
      <c r="A500" s="25"/>
      <c r="B500" s="26"/>
      <c r="C500" s="27"/>
      <c r="D500" s="26"/>
      <c r="E500" s="26"/>
      <c r="F500" s="26"/>
      <c r="G500" s="27"/>
      <c r="H500" s="28" t="n">
        <f aca="false">IF(AND(ISNUMBER(D500),ISNUMBER(E500)),D500*E500,0)</f>
        <v>0</v>
      </c>
      <c r="I500" s="29" t="n">
        <f aca="false">IF(AND(ISNUMBER(D500),ISNUMBER(E500),E500&gt;0),ROUND(D500*(1+E500/30),1),0)</f>
        <v>0</v>
      </c>
    </row>
    <row r="501" customFormat="false" ht="15" hidden="false" customHeight="true" outlineLevel="0" collapsed="false">
      <c r="A501" s="25"/>
      <c r="B501" s="26"/>
      <c r="C501" s="27"/>
      <c r="D501" s="26"/>
      <c r="E501" s="26"/>
      <c r="F501" s="26"/>
      <c r="G501" s="27"/>
      <c r="H501" s="28" t="n">
        <f aca="false">IF(AND(ISNUMBER(D501),ISNUMBER(E501)),D501*E501,0)</f>
        <v>0</v>
      </c>
      <c r="I501" s="29" t="n">
        <f aca="false">IF(AND(ISNUMBER(D501),ISNUMBER(E501),E501&gt;0),ROUND(D501*(1+E501/30),1),0)</f>
        <v>0</v>
      </c>
    </row>
    <row r="502" customFormat="false" ht="15" hidden="false" customHeight="true" outlineLevel="0" collapsed="false">
      <c r="A502" s="25"/>
      <c r="B502" s="26"/>
      <c r="C502" s="27"/>
      <c r="D502" s="26"/>
      <c r="E502" s="26"/>
      <c r="F502" s="26"/>
      <c r="G502" s="27"/>
      <c r="H502" s="28" t="n">
        <f aca="false">IF(AND(ISNUMBER(D502),ISNUMBER(E502)),D502*E502,0)</f>
        <v>0</v>
      </c>
      <c r="I502" s="29" t="n">
        <f aca="false">IF(AND(ISNUMBER(D502),ISNUMBER(E502),E502&gt;0),ROUND(D502*(1+E502/30),1),0)</f>
        <v>0</v>
      </c>
    </row>
    <row r="503" customFormat="false" ht="15" hidden="false" customHeight="true" outlineLevel="0" collapsed="false">
      <c r="A503" s="25"/>
      <c r="B503" s="26"/>
      <c r="C503" s="27"/>
      <c r="D503" s="26"/>
      <c r="E503" s="26"/>
      <c r="F503" s="26"/>
      <c r="G503" s="27"/>
      <c r="H503" s="28" t="n">
        <f aca="false">IF(AND(ISNUMBER(D503),ISNUMBER(E503)),D503*E503,0)</f>
        <v>0</v>
      </c>
      <c r="I503" s="29" t="n">
        <f aca="false">IF(AND(ISNUMBER(D503),ISNUMBER(E503),E503&gt;0),ROUND(D503*(1+E503/30),1),0)</f>
        <v>0</v>
      </c>
    </row>
  </sheetData>
  <mergeCells count="2">
    <mergeCell ref="A1:G1"/>
    <mergeCell ref="A2:I2"/>
  </mergeCells>
  <conditionalFormatting sqref="F4:F503">
    <cfRule type="cellIs" priority="2" operator="less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4"/>
    <col collapsed="false" customWidth="true" hidden="false" outlineLevel="0" max="2" min="2" style="4" width="11"/>
    <col collapsed="false" customWidth="true" hidden="false" outlineLevel="0" max="3" min="3" style="4" width="17"/>
    <col collapsed="false" customWidth="true" hidden="false" outlineLevel="0" max="4" min="4" style="4" width="16"/>
    <col collapsed="false" customWidth="true" hidden="false" outlineLevel="0" max="5" min="5" style="4" width="26"/>
    <col collapsed="false" customWidth="true" hidden="false" outlineLevel="0" max="6" min="6" style="4" width="30"/>
    <col collapsed="false" customWidth="true" hidden="true" outlineLevel="0" max="8" min="8" style="4" width="13"/>
    <col collapsed="false" customWidth="true" hidden="false" outlineLevel="0" max="9" min="9" style="4" width="12"/>
  </cols>
  <sheetData>
    <row r="1" customFormat="false" ht="17.25" hidden="false" customHeight="true" outlineLevel="0" collapsed="false">
      <c r="A1" s="22" t="s">
        <v>143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6" t="s">
        <v>144</v>
      </c>
      <c r="B2" s="6"/>
      <c r="C2" s="6"/>
      <c r="D2" s="6"/>
      <c r="E2" s="6"/>
      <c r="F2" s="6"/>
    </row>
    <row r="3" customFormat="false" ht="15" hidden="false" customHeight="true" outlineLevel="0" collapsed="false">
      <c r="A3" s="23" t="s">
        <v>7</v>
      </c>
      <c r="B3" s="23" t="s">
        <v>145</v>
      </c>
      <c r="C3" s="23" t="s">
        <v>146</v>
      </c>
      <c r="D3" s="23" t="s">
        <v>147</v>
      </c>
      <c r="E3" s="23" t="s">
        <v>148</v>
      </c>
      <c r="F3" s="23" t="s">
        <v>149</v>
      </c>
    </row>
    <row r="4" customFormat="false" ht="15" hidden="false" customHeight="true" outlineLevel="0" collapsed="false">
      <c r="A4" s="15" t="s">
        <v>12</v>
      </c>
      <c r="B4" s="11" t="s">
        <v>13</v>
      </c>
      <c r="C4" s="30" t="n">
        <f aca="false">IFERROR(IF(SUMPRODUCT(MAX((Log!$C$4:$C$503=A4)*Log!$I$4:$I$503))=0,"—",SUMPRODUCT(MAX((Log!$C$4:$C$503=A4)*Log!$I$4:$I$503))),"—")</f>
        <v>25.3</v>
      </c>
      <c r="D4" s="30" t="n">
        <f aca="false">IFERROR(IF(I4="","—",SUMPRODUCT(MAX((Log!$C$4:$C$503=A4)*(Log!$A$4:$A$503=I4)*Log!$D$4:$D$503))),"—")</f>
        <v>20</v>
      </c>
      <c r="E4" s="31" t="n">
        <f aca="false">IFERROR(IF(I4="","—",-SUMPRODUCT(MAX((Log!$C$4:$C$503=A4)*(Log!$A$4:$A$503=I4)*(-Log!$E$4:$E$503)-(1-(Log!$C$4:$C$503=A4)*(Log!$A$4:$A$503=I4))*9999))),"—")</f>
        <v>8</v>
      </c>
      <c r="F4" s="10" t="str">
        <f aca="false">IF(I4="","not logged yet",IF(E4&gt;=H4,"⬆ Add weight next session","➕ Add a rep (same weight)"))</f>
        <v>⬆ Add weight next session</v>
      </c>
      <c r="H4" s="32" t="n">
        <v>8</v>
      </c>
      <c r="I4" s="33" t="n">
        <f aca="false">IFERROR(IF(SUMPRODUCT(MAX((Log!$C$4:$C$503=A4)*Log!$A$4:$A$503))=0,"",SUMPRODUCT(MAX((Log!$C$4:$C$503=A4)*Log!$A$4:$A$503))),"")</f>
        <v>46181</v>
      </c>
    </row>
    <row r="5" customFormat="false" ht="15" hidden="false" customHeight="true" outlineLevel="0" collapsed="false">
      <c r="A5" s="15" t="s">
        <v>16</v>
      </c>
      <c r="B5" s="11" t="s">
        <v>13</v>
      </c>
      <c r="C5" s="30" t="n">
        <f aca="false">IFERROR(IF(SUMPRODUCT(MAX((Log!$C$4:$C$503=A5)*Log!$I$4:$I$503))=0,"—",SUMPRODUCT(MAX((Log!$C$4:$C$503=A5)*Log!$I$4:$I$503))),"—")</f>
        <v>49.3</v>
      </c>
      <c r="D5" s="30" t="n">
        <f aca="false">IFERROR(IF(I5="","—",SUMPRODUCT(MAX((Log!$C$4:$C$503=A5)*(Log!$A$4:$A$503=I5)*Log!$D$4:$D$503))),"—")</f>
        <v>40</v>
      </c>
      <c r="E5" s="31" t="n">
        <f aca="false">IFERROR(IF(I5="","—",-SUMPRODUCT(MAX((Log!$C$4:$C$503=A5)*(Log!$A$4:$A$503=I5)*(-Log!$E$4:$E$503)-(1-(Log!$C$4:$C$503=A5)*(Log!$A$4:$A$503=I5))*9999))),"—")</f>
        <v>6</v>
      </c>
      <c r="F5" s="10" t="str">
        <f aca="false">IF(I5="","not logged yet",IF(E5&gt;=H5,"⬆ Add weight next session","➕ Add a rep (same weight)"))</f>
        <v>➕ Add a rep (same weight)</v>
      </c>
      <c r="H5" s="32" t="n">
        <v>8</v>
      </c>
      <c r="I5" s="33" t="n">
        <f aca="false">IFERROR(IF(SUMPRODUCT(MAX((Log!$C$4:$C$503=A5)*Log!$A$4:$A$503))=0,"",SUMPRODUCT(MAX((Log!$C$4:$C$503=A5)*Log!$A$4:$A$503))),"")</f>
        <v>46181</v>
      </c>
    </row>
    <row r="6" customFormat="false" ht="15" hidden="false" customHeight="true" outlineLevel="0" collapsed="false">
      <c r="A6" s="15" t="s">
        <v>18</v>
      </c>
      <c r="B6" s="11" t="s">
        <v>19</v>
      </c>
      <c r="C6" s="30" t="n">
        <f aca="false">IFERROR(IF(SUMPRODUCT(MAX((Log!$C$4:$C$503=A6)*Log!$I$4:$I$503))=0,"—",SUMPRODUCT(MAX((Log!$C$4:$C$503=A6)*Log!$I$4:$I$503))),"—")</f>
        <v>19.5</v>
      </c>
      <c r="D6" s="30" t="n">
        <f aca="false">IFERROR(IF(I6="","—",SUMPRODUCT(MAX((Log!$C$4:$C$503=A6)*(Log!$A$4:$A$503=I6)*Log!$D$4:$D$503))),"—")</f>
        <v>15</v>
      </c>
      <c r="E6" s="31" t="n">
        <f aca="false">IFERROR(IF(I6="","—",-SUMPRODUCT(MAX((Log!$C$4:$C$503=A6)*(Log!$A$4:$A$503=I6)*(-Log!$E$4:$E$503)-(1-(Log!$C$4:$C$503=A6)*(Log!$A$4:$A$503=I6))*9999))),"—")</f>
        <v>8</v>
      </c>
      <c r="F6" s="10" t="str">
        <f aca="false">IF(I6="","not logged yet",IF(E6&gt;=H6,"⬆ Add weight next session","➕ Add a rep (same weight)"))</f>
        <v>➕ Add a rep (same weight)</v>
      </c>
      <c r="H6" s="32" t="n">
        <v>10</v>
      </c>
      <c r="I6" s="33" t="n">
        <f aca="false">IFERROR(IF(SUMPRODUCT(MAX((Log!$C$4:$C$503=A6)*Log!$A$4:$A$503))=0,"",SUMPRODUCT(MAX((Log!$C$4:$C$503=A6)*Log!$A$4:$A$503))),"")</f>
        <v>46181</v>
      </c>
    </row>
    <row r="7" customFormat="false" ht="15" hidden="false" customHeight="true" outlineLevel="0" collapsed="false">
      <c r="A7" s="15" t="s">
        <v>47</v>
      </c>
      <c r="B7" s="11" t="s">
        <v>35</v>
      </c>
      <c r="C7" s="30" t="str">
        <f aca="false">IFERROR(IF(SUMPRODUCT(MAX((Log!$C$4:$C$503=A7)*Log!$I$4:$I$503))=0,"—",SUMPRODUCT(MAX((Log!$C$4:$C$503=A7)*Log!$I$4:$I$503))),"—")</f>
        <v>—</v>
      </c>
      <c r="D7" s="30" t="str">
        <f aca="false">IFERROR(IF(I7="","—",SUMPRODUCT(MAX((Log!$C$4:$C$503=A7)*(Log!$A$4:$A$503=I7)*Log!$D$4:$D$503))),"—")</f>
        <v>—</v>
      </c>
      <c r="E7" s="31" t="str">
        <f aca="false">IFERROR(IF(I7="","—",-SUMPRODUCT(MAX((Log!$C$4:$C$503=A7)*(Log!$A$4:$A$503=I7)*(-Log!$E$4:$E$503)-(1-(Log!$C$4:$C$503=A7)*(Log!$A$4:$A$503=I7))*9999))),"—")</f>
        <v>—</v>
      </c>
      <c r="F7" s="10" t="str">
        <f aca="false">IF(I7="","not logged yet",IF(E7&gt;=H7,"⬆ Add weight next session","➕ Add a rep (same weight)"))</f>
        <v>not logged yet</v>
      </c>
      <c r="H7" s="32" t="n">
        <v>12</v>
      </c>
      <c r="I7" s="33" t="str">
        <f aca="false">IFERROR(IF(SUMPRODUCT(MAX((Log!$C$4:$C$503=A7)*Log!$A$4:$A$503))=0,"",SUMPRODUCT(MAX((Log!$C$4:$C$503=A7)*Log!$A$4:$A$503))),"")</f>
        <v/>
      </c>
    </row>
    <row r="8" customFormat="false" ht="15" hidden="false" customHeight="true" outlineLevel="0" collapsed="false">
      <c r="A8" s="15" t="s">
        <v>49</v>
      </c>
      <c r="B8" s="11" t="s">
        <v>19</v>
      </c>
      <c r="C8" s="30" t="str">
        <f aca="false">IFERROR(IF(SUMPRODUCT(MAX((Log!$C$4:$C$503=A8)*Log!$I$4:$I$503))=0,"—",SUMPRODUCT(MAX((Log!$C$4:$C$503=A8)*Log!$I$4:$I$503))),"—")</f>
        <v>—</v>
      </c>
      <c r="D8" s="30" t="str">
        <f aca="false">IFERROR(IF(I8="","—",SUMPRODUCT(MAX((Log!$C$4:$C$503=A8)*(Log!$A$4:$A$503=I8)*Log!$D$4:$D$503))),"—")</f>
        <v>—</v>
      </c>
      <c r="E8" s="31" t="str">
        <f aca="false">IFERROR(IF(I8="","—",-SUMPRODUCT(MAX((Log!$C$4:$C$503=A8)*(Log!$A$4:$A$503=I8)*(-Log!$E$4:$E$503)-(1-(Log!$C$4:$C$503=A8)*(Log!$A$4:$A$503=I8))*9999))),"—")</f>
        <v>—</v>
      </c>
      <c r="F8" s="10" t="str">
        <f aca="false">IF(I8="","not logged yet",IF(E8&gt;=H8,"⬆ Add weight next session","➕ Add a rep (same weight)"))</f>
        <v>not logged yet</v>
      </c>
      <c r="H8" s="32" t="n">
        <v>10</v>
      </c>
      <c r="I8" s="33" t="str">
        <f aca="false">IFERROR(IF(SUMPRODUCT(MAX((Log!$C$4:$C$503=A8)*Log!$A$4:$A$503))=0,"",SUMPRODUCT(MAX((Log!$C$4:$C$503=A8)*Log!$A$4:$A$503))),"")</f>
        <v/>
      </c>
    </row>
    <row r="9" customFormat="false" ht="15" hidden="false" customHeight="true" outlineLevel="0" collapsed="false">
      <c r="A9" s="15" t="s">
        <v>51</v>
      </c>
      <c r="B9" s="11" t="s">
        <v>35</v>
      </c>
      <c r="C9" s="30" t="str">
        <f aca="false">IFERROR(IF(SUMPRODUCT(MAX((Log!$C$4:$C$503=A9)*Log!$I$4:$I$503))=0,"—",SUMPRODUCT(MAX((Log!$C$4:$C$503=A9)*Log!$I$4:$I$503))),"—")</f>
        <v>—</v>
      </c>
      <c r="D9" s="30" t="str">
        <f aca="false">IFERROR(IF(I9="","—",SUMPRODUCT(MAX((Log!$C$4:$C$503=A9)*(Log!$A$4:$A$503=I9)*Log!$D$4:$D$503))),"—")</f>
        <v>—</v>
      </c>
      <c r="E9" s="31" t="str">
        <f aca="false">IFERROR(IF(I9="","—",-SUMPRODUCT(MAX((Log!$C$4:$C$503=A9)*(Log!$A$4:$A$503=I9)*(-Log!$E$4:$E$503)-(1-(Log!$C$4:$C$503=A9)*(Log!$A$4:$A$503=I9))*9999))),"—")</f>
        <v>—</v>
      </c>
      <c r="F9" s="10" t="str">
        <f aca="false">IF(I9="","not logged yet",IF(E9&gt;=H9,"⬆ Add weight next session","➕ Add a rep (same weight)"))</f>
        <v>not logged yet</v>
      </c>
      <c r="H9" s="32" t="n">
        <v>12</v>
      </c>
      <c r="I9" s="33" t="str">
        <f aca="false">IFERROR(IF(SUMPRODUCT(MAX((Log!$C$4:$C$503=A9)*Log!$A$4:$A$503))=0,"",SUMPRODUCT(MAX((Log!$C$4:$C$503=A9)*Log!$A$4:$A$503))),"")</f>
        <v/>
      </c>
    </row>
    <row r="10" customFormat="false" ht="15" hidden="false" customHeight="true" outlineLevel="0" collapsed="false">
      <c r="A10" s="15" t="s">
        <v>53</v>
      </c>
      <c r="B10" s="11" t="s">
        <v>35</v>
      </c>
      <c r="C10" s="30" t="str">
        <f aca="false">IFERROR(IF(SUMPRODUCT(MAX((Log!$C$4:$C$503=A10)*Log!$I$4:$I$503))=0,"—",SUMPRODUCT(MAX((Log!$C$4:$C$503=A10)*Log!$I$4:$I$503))),"—")</f>
        <v>—</v>
      </c>
      <c r="D10" s="30" t="str">
        <f aca="false">IFERROR(IF(I10="","—",SUMPRODUCT(MAX((Log!$C$4:$C$503=A10)*(Log!$A$4:$A$503=I10)*Log!$D$4:$D$503))),"—")</f>
        <v>—</v>
      </c>
      <c r="E10" s="31" t="str">
        <f aca="false">IFERROR(IF(I10="","—",-SUMPRODUCT(MAX((Log!$C$4:$C$503=A10)*(Log!$A$4:$A$503=I10)*(-Log!$E$4:$E$503)-(1-(Log!$C$4:$C$503=A10)*(Log!$A$4:$A$503=I10))*9999))),"—")</f>
        <v>—</v>
      </c>
      <c r="F10" s="10" t="str">
        <f aca="false">IF(I10="","not logged yet",IF(E10&gt;=H10,"⬆ Add weight next session","➕ Add a rep (same weight)"))</f>
        <v>not logged yet</v>
      </c>
      <c r="H10" s="32" t="n">
        <v>12</v>
      </c>
      <c r="I10" s="33" t="str">
        <f aca="false">IFERROR(IF(SUMPRODUCT(MAX((Log!$C$4:$C$503=A10)*Log!$A$4:$A$503))=0,"",SUMPRODUCT(MAX((Log!$C$4:$C$503=A10)*Log!$A$4:$A$503))),"")</f>
        <v/>
      </c>
    </row>
    <row r="11" customFormat="false" ht="15" hidden="false" customHeight="true" outlineLevel="0" collapsed="false">
      <c r="A11" s="15" t="s">
        <v>32</v>
      </c>
      <c r="B11" s="11" t="s">
        <v>13</v>
      </c>
      <c r="C11" s="30" t="n">
        <f aca="false">IFERROR(IF(SUMPRODUCT(MAX((Log!$C$4:$C$503=A11)*Log!$I$4:$I$503))=0,"—",SUMPRODUCT(MAX((Log!$C$4:$C$503=A11)*Log!$I$4:$I$503))),"—")</f>
        <v>38</v>
      </c>
      <c r="D11" s="30" t="n">
        <f aca="false">IFERROR(IF(I11="","—",SUMPRODUCT(MAX((Log!$C$4:$C$503=A11)*(Log!$A$4:$A$503=I11)*Log!$D$4:$D$503))),"—")</f>
        <v>30</v>
      </c>
      <c r="E11" s="31" t="n">
        <f aca="false">IFERROR(IF(I11="","—",-SUMPRODUCT(MAX((Log!$C$4:$C$503=A11)*(Log!$A$4:$A$503=I11)*(-Log!$E$4:$E$503)-(1-(Log!$C$4:$C$503=A11)*(Log!$A$4:$A$503=I11))*9999))),"—")</f>
        <v>7</v>
      </c>
      <c r="F11" s="10" t="str">
        <f aca="false">IF(I11="","not logged yet",IF(E11&gt;=H11,"⬆ Add weight next session","➕ Add a rep (same weight)"))</f>
        <v>➕ Add a rep (same weight)</v>
      </c>
      <c r="H11" s="32" t="n">
        <v>8</v>
      </c>
      <c r="I11" s="33" t="n">
        <f aca="false">IFERROR(IF(SUMPRODUCT(MAX((Log!$C$4:$C$503=A11)*Log!$A$4:$A$503))=0,"",SUMPRODUCT(MAX((Log!$C$4:$C$503=A11)*Log!$A$4:$A$503))),"")</f>
        <v>46182</v>
      </c>
    </row>
    <row r="12" customFormat="false" ht="15" hidden="false" customHeight="true" outlineLevel="0" collapsed="false">
      <c r="A12" s="15" t="s">
        <v>34</v>
      </c>
      <c r="B12" s="11" t="s">
        <v>35</v>
      </c>
      <c r="C12" s="30" t="n">
        <f aca="false">IFERROR(IF(SUMPRODUCT(MAX((Log!$C$4:$C$503=A12)*Log!$I$4:$I$503))=0,"—",SUMPRODUCT(MAX((Log!$C$4:$C$503=A12)*Log!$I$4:$I$503))),"—")</f>
        <v>84</v>
      </c>
      <c r="D12" s="30" t="n">
        <f aca="false">IFERROR(IF(I12="","—",SUMPRODUCT(MAX((Log!$C$4:$C$503=A12)*(Log!$A$4:$A$503=I12)*Log!$D$4:$D$503))),"—")</f>
        <v>60</v>
      </c>
      <c r="E12" s="31" t="n">
        <f aca="false">IFERROR(IF(I12="","—",-SUMPRODUCT(MAX((Log!$C$4:$C$503=A12)*(Log!$A$4:$A$503=I12)*(-Log!$E$4:$E$503)-(1-(Log!$C$4:$C$503=A12)*(Log!$A$4:$A$503=I12))*9999))),"—")</f>
        <v>11</v>
      </c>
      <c r="F12" s="10" t="str">
        <f aca="false">IF(I12="","not logged yet",IF(E12&gt;=H12,"⬆ Add weight next session","➕ Add a rep (same weight)"))</f>
        <v>➕ Add a rep (same weight)</v>
      </c>
      <c r="H12" s="32" t="n">
        <v>12</v>
      </c>
      <c r="I12" s="33" t="n">
        <f aca="false">IFERROR(IF(SUMPRODUCT(MAX((Log!$C$4:$C$503=A12)*Log!$A$4:$A$503))=0,"",SUMPRODUCT(MAX((Log!$C$4:$C$503=A12)*Log!$A$4:$A$503))),"")</f>
        <v>46182</v>
      </c>
    </row>
    <row r="13" customFormat="false" ht="15" hidden="false" customHeight="true" outlineLevel="0" collapsed="false">
      <c r="A13" s="15" t="s">
        <v>37</v>
      </c>
      <c r="B13" s="11" t="s">
        <v>35</v>
      </c>
      <c r="C13" s="30" t="n">
        <f aca="false">IFERROR(IF(SUMPRODUCT(MAX((Log!$C$4:$C$503=A13)*Log!$I$4:$I$503))=0,"—",SUMPRODUCT(MAX((Log!$C$4:$C$503=A13)*Log!$I$4:$I$503))),"—")</f>
        <v>41</v>
      </c>
      <c r="D13" s="30" t="n">
        <f aca="false">IFERROR(IF(I13="","—",SUMPRODUCT(MAX((Log!$C$4:$C$503=A13)*(Log!$A$4:$A$503=I13)*Log!$D$4:$D$503))),"—")</f>
        <v>30</v>
      </c>
      <c r="E13" s="31" t="n">
        <f aca="false">IFERROR(IF(I13="","—",-SUMPRODUCT(MAX((Log!$C$4:$C$503=A13)*(Log!$A$4:$A$503=I13)*(-Log!$E$4:$E$503)-(1-(Log!$C$4:$C$503=A13)*(Log!$A$4:$A$503=I13))*9999))),"—")</f>
        <v>10</v>
      </c>
      <c r="F13" s="10" t="str">
        <f aca="false">IF(I13="","not logged yet",IF(E13&gt;=H13,"⬆ Add weight next session","➕ Add a rep (same weight)"))</f>
        <v>➕ Add a rep (same weight)</v>
      </c>
      <c r="H13" s="32" t="n">
        <v>12</v>
      </c>
      <c r="I13" s="33" t="n">
        <f aca="false">IFERROR(IF(SUMPRODUCT(MAX((Log!$C$4:$C$503=A13)*Log!$A$4:$A$503))=0,"",SUMPRODUCT(MAX((Log!$C$4:$C$503=A13)*Log!$A$4:$A$503))),"")</f>
        <v>46182</v>
      </c>
    </row>
    <row r="14" customFormat="false" ht="15" hidden="false" customHeight="true" outlineLevel="0" collapsed="false">
      <c r="A14" s="15" t="s">
        <v>61</v>
      </c>
      <c r="B14" s="11" t="s">
        <v>13</v>
      </c>
      <c r="C14" s="30" t="str">
        <f aca="false">IFERROR(IF(SUMPRODUCT(MAX((Log!$C$4:$C$503=A14)*Log!$I$4:$I$503))=0,"—",SUMPRODUCT(MAX((Log!$C$4:$C$503=A14)*Log!$I$4:$I$503))),"—")</f>
        <v>—</v>
      </c>
      <c r="D14" s="30" t="str">
        <f aca="false">IFERROR(IF(I14="","—",SUMPRODUCT(MAX((Log!$C$4:$C$503=A14)*(Log!$A$4:$A$503=I14)*Log!$D$4:$D$503))),"—")</f>
        <v>—</v>
      </c>
      <c r="E14" s="31" t="str">
        <f aca="false">IFERROR(IF(I14="","—",-SUMPRODUCT(MAX((Log!$C$4:$C$503=A14)*(Log!$A$4:$A$503=I14)*(-Log!$E$4:$E$503)-(1-(Log!$C$4:$C$503=A14)*(Log!$A$4:$A$503=I14))*9999))),"—")</f>
        <v>—</v>
      </c>
      <c r="F14" s="10" t="str">
        <f aca="false">IF(I14="","not logged yet",IF(E14&gt;=H14,"⬆ Add weight next session","➕ Add a rep (same weight)"))</f>
        <v>not logged yet</v>
      </c>
      <c r="H14" s="32" t="n">
        <v>8</v>
      </c>
      <c r="I14" s="33" t="str">
        <f aca="false">IFERROR(IF(SUMPRODUCT(MAX((Log!$C$4:$C$503=A14)*Log!$A$4:$A$503))=0,"",SUMPRODUCT(MAX((Log!$C$4:$C$503=A14)*Log!$A$4:$A$503))),"")</f>
        <v/>
      </c>
    </row>
    <row r="15" customFormat="false" ht="15" hidden="false" customHeight="true" outlineLevel="0" collapsed="false">
      <c r="A15" s="15" t="s">
        <v>63</v>
      </c>
      <c r="B15" s="11" t="s">
        <v>35</v>
      </c>
      <c r="C15" s="30" t="str">
        <f aca="false">IFERROR(IF(SUMPRODUCT(MAX((Log!$C$4:$C$503=A15)*Log!$I$4:$I$503))=0,"—",SUMPRODUCT(MAX((Log!$C$4:$C$503=A15)*Log!$I$4:$I$503))),"—")</f>
        <v>—</v>
      </c>
      <c r="D15" s="30" t="str">
        <f aca="false">IFERROR(IF(I15="","—",SUMPRODUCT(MAX((Log!$C$4:$C$503=A15)*(Log!$A$4:$A$503=I15)*Log!$D$4:$D$503))),"—")</f>
        <v>—</v>
      </c>
      <c r="E15" s="31" t="str">
        <f aca="false">IFERROR(IF(I15="","—",-SUMPRODUCT(MAX((Log!$C$4:$C$503=A15)*(Log!$A$4:$A$503=I15)*(-Log!$E$4:$E$503)-(1-(Log!$C$4:$C$503=A15)*(Log!$A$4:$A$503=I15))*9999))),"—")</f>
        <v>—</v>
      </c>
      <c r="F15" s="10" t="str">
        <f aca="false">IF(I15="","not logged yet",IF(E15&gt;=H15,"⬆ Add weight next session","➕ Add a rep (same weight)"))</f>
        <v>not logged yet</v>
      </c>
      <c r="H15" s="32" t="n">
        <v>12</v>
      </c>
      <c r="I15" s="33" t="str">
        <f aca="false">IFERROR(IF(SUMPRODUCT(MAX((Log!$C$4:$C$503=A15)*Log!$A$4:$A$503))=0,"",SUMPRODUCT(MAX((Log!$C$4:$C$503=A15)*Log!$A$4:$A$503))),"")</f>
        <v/>
      </c>
    </row>
    <row r="16" customFormat="false" ht="15" hidden="false" customHeight="true" outlineLevel="0" collapsed="false">
      <c r="A16" s="15" t="s">
        <v>65</v>
      </c>
      <c r="B16" s="11" t="s">
        <v>35</v>
      </c>
      <c r="C16" s="30" t="str">
        <f aca="false">IFERROR(IF(SUMPRODUCT(MAX((Log!$C$4:$C$503=A16)*Log!$I$4:$I$503))=0,"—",SUMPRODUCT(MAX((Log!$C$4:$C$503=A16)*Log!$I$4:$I$503))),"—")</f>
        <v>—</v>
      </c>
      <c r="D16" s="30" t="str">
        <f aca="false">IFERROR(IF(I16="","—",SUMPRODUCT(MAX((Log!$C$4:$C$503=A16)*(Log!$A$4:$A$503=I16)*Log!$D$4:$D$503))),"—")</f>
        <v>—</v>
      </c>
      <c r="E16" s="31" t="str">
        <f aca="false">IFERROR(IF(I16="","—",-SUMPRODUCT(MAX((Log!$C$4:$C$503=A16)*(Log!$A$4:$A$503=I16)*(-Log!$E$4:$E$503)-(1-(Log!$C$4:$C$503=A16)*(Log!$A$4:$A$503=I16))*9999))),"—")</f>
        <v>—</v>
      </c>
      <c r="F16" s="10" t="str">
        <f aca="false">IF(I16="","not logged yet",IF(E16&gt;=H16,"⬆ Add weight next session","➕ Add a rep (same weight)"))</f>
        <v>not logged yet</v>
      </c>
      <c r="H16" s="32" t="n">
        <v>12</v>
      </c>
      <c r="I16" s="33" t="str">
        <f aca="false">IFERROR(IF(SUMPRODUCT(MAX((Log!$C$4:$C$503=A16)*Log!$A$4:$A$503))=0,"",SUMPRODUCT(MAX((Log!$C$4:$C$503=A16)*Log!$A$4:$A$503))),"")</f>
        <v/>
      </c>
    </row>
    <row r="17" customFormat="false" ht="15" hidden="false" customHeight="true" outlineLevel="0" collapsed="false">
      <c r="A17" s="15" t="s">
        <v>67</v>
      </c>
      <c r="B17" s="11" t="s">
        <v>35</v>
      </c>
      <c r="C17" s="30" t="str">
        <f aca="false">IFERROR(IF(SUMPRODUCT(MAX((Log!$C$4:$C$503=A17)*Log!$I$4:$I$503))=0,"—",SUMPRODUCT(MAX((Log!$C$4:$C$503=A17)*Log!$I$4:$I$503))),"—")</f>
        <v>—</v>
      </c>
      <c r="D17" s="30" t="str">
        <f aca="false">IFERROR(IF(I17="","—",SUMPRODUCT(MAX((Log!$C$4:$C$503=A17)*(Log!$A$4:$A$503=I17)*Log!$D$4:$D$503))),"—")</f>
        <v>—</v>
      </c>
      <c r="E17" s="31" t="str">
        <f aca="false">IFERROR(IF(I17="","—",-SUMPRODUCT(MAX((Log!$C$4:$C$503=A17)*(Log!$A$4:$A$503=I17)*(-Log!$E$4:$E$503)-(1-(Log!$C$4:$C$503=A17)*(Log!$A$4:$A$503=I17))*9999))),"—")</f>
        <v>—</v>
      </c>
      <c r="F17" s="10" t="str">
        <f aca="false">IF(I17="","not logged yet",IF(E17&gt;=H17,"⬆ Add weight next session","➕ Add a rep (same weight)"))</f>
        <v>not logged yet</v>
      </c>
      <c r="H17" s="32" t="n">
        <v>12</v>
      </c>
      <c r="I17" s="33" t="str">
        <f aca="false">IFERROR(IF(SUMPRODUCT(MAX((Log!$C$4:$C$503=A17)*Log!$A$4:$A$503))=0,"",SUMPRODUCT(MAX((Log!$C$4:$C$503=A17)*Log!$A$4:$A$503))),"")</f>
        <v/>
      </c>
    </row>
  </sheetData>
  <mergeCells count="2">
    <mergeCell ref="A1:F1"/>
    <mergeCell ref="A2:F2"/>
  </mergeCells>
  <conditionalFormatting sqref="F4:F17">
    <cfRule type="expression" priority="2" aboveAverage="0" equalAverage="0" bottom="0" percent="0" rank="0" text="" dxfId="1">
      <formula>ISNUMBER(SEARCH("Add weight",F4))</formula>
    </cfRule>
    <cfRule type="expression" priority="3" aboveAverage="0" equalAverage="0" bottom="0" percent="0" rank="0" text="" dxfId="2">
      <formula>ISNUMBER(SEARCH("Add a rep",F4))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34" t="s">
        <v>150</v>
      </c>
      <c r="B1" s="34"/>
    </row>
    <row r="3" customFormat="false" ht="30" hidden="false" customHeight="true" outlineLevel="0" collapsed="false">
      <c r="A3" s="21" t="s">
        <v>124</v>
      </c>
      <c r="B3" s="19" t="s">
        <v>151</v>
      </c>
    </row>
    <row r="4" customFormat="false" ht="30" hidden="false" customHeight="true" outlineLevel="0" collapsed="false">
      <c r="A4" s="21" t="s">
        <v>126</v>
      </c>
      <c r="B4" s="19" t="s">
        <v>152</v>
      </c>
    </row>
    <row r="5" customFormat="false" ht="30" hidden="false" customHeight="true" outlineLevel="0" collapsed="false">
      <c r="A5" s="21" t="s">
        <v>128</v>
      </c>
      <c r="B5" s="19" t="s">
        <v>153</v>
      </c>
    </row>
    <row r="6" customFormat="false" ht="30" hidden="false" customHeight="true" outlineLevel="0" collapsed="false">
      <c r="A6" s="21" t="s">
        <v>154</v>
      </c>
      <c r="B6" s="19" t="s">
        <v>155</v>
      </c>
    </row>
    <row r="7" customFormat="false" ht="30" hidden="false" customHeight="true" outlineLevel="0" collapsed="false">
      <c r="A7" s="21" t="s">
        <v>156</v>
      </c>
      <c r="B7" s="19" t="s">
        <v>157</v>
      </c>
    </row>
    <row r="8" customFormat="false" ht="30" hidden="false" customHeight="true" outlineLevel="0" collapsed="false">
      <c r="A8" s="21"/>
      <c r="B8" s="19" t="s">
        <v>158</v>
      </c>
    </row>
    <row r="9" customFormat="false" ht="30" hidden="false" customHeight="true" outlineLevel="0" collapsed="false">
      <c r="A9" s="21"/>
      <c r="B9" s="19" t="s">
        <v>159</v>
      </c>
    </row>
    <row r="10" customFormat="false" ht="30" hidden="false" customHeight="true" outlineLevel="0" collapsed="false">
      <c r="A10" s="21" t="s">
        <v>102</v>
      </c>
      <c r="B10" s="19" t="s">
        <v>160</v>
      </c>
    </row>
    <row r="11" customFormat="false" ht="30" hidden="false" customHeight="true" outlineLevel="0" collapsed="false">
      <c r="A11" s="21" t="s">
        <v>102</v>
      </c>
      <c r="B11" s="19" t="s">
        <v>161</v>
      </c>
    </row>
    <row r="12" customFormat="false" ht="30" hidden="false" customHeight="true" outlineLevel="0" collapsed="false">
      <c r="A12" s="21" t="s">
        <v>102</v>
      </c>
      <c r="B12" s="19" t="s">
        <v>162</v>
      </c>
    </row>
    <row r="13" customFormat="false" ht="30" hidden="false" customHeight="true" outlineLevel="0" collapsed="false">
      <c r="A13" s="21" t="s">
        <v>102</v>
      </c>
      <c r="B13" s="19" t="s">
        <v>163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2026-06-05T19:10:45Z</dcterms:created>
  <dc:creator>openpyxl</dc:creator>
  <dc:description/>
  <dc:language>en-US</dc:language>
  <cp:lastModifiedBy/>
  <dcterms:modified xsi:type="dcterms:W3CDTF">2026-06-05T19:19:25Z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